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mc:AlternateContent>
  <xr:revisionPtr revIDLastSave="0" documentId="13_ncr:1_{21ED0C93-A8DF-48A3-9022-E405BE4E7FEF}" xr6:coauthVersionLast="47" xr6:coauthVersionMax="47" xr10:uidLastSave="{00000000-0000-0000-0000-000000000000}"/>
  <bookViews>
    <workbookView xWindow="-120" yWindow="-120" windowWidth="51840" windowHeight="21120" xr2:uid="{00000000-000D-0000-FFFF-FFFF00000000}"/>
  </bookViews>
  <sheets>
    <sheet name="Start Here" sheetId="1" r:id="rId1"/>
    <sheet name="Register" sheetId="2" r:id="rId2"/>
    <sheet name="Codes" sheetId="3" r:id="rId3"/>
    <sheet name="Holidays" sheetId="4" r:id="rId4"/>
    <sheet name="GIC" sheetId="5" r:id="rId5"/>
    <sheet name="Summary" sheetId="6" r:id="rId6"/>
    <sheet name="Review Checks" sheetId="7" r:id="rId7"/>
    <sheet name="Sources &amp; Version" sheetId="8" r:id="rId8"/>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7" i="6" l="1"/>
  <c r="BF11" i="2"/>
  <c r="X11" i="2"/>
  <c r="Z11" i="2" s="1"/>
  <c r="W11" i="2"/>
  <c r="V11" i="2"/>
  <c r="Q11" i="2"/>
  <c r="P11" i="2"/>
  <c r="N11" i="2"/>
  <c r="M11" i="2"/>
  <c r="R11" i="2" s="1"/>
  <c r="L11" i="2"/>
  <c r="BF10" i="2"/>
  <c r="X10" i="2"/>
  <c r="Z10" i="2" s="1"/>
  <c r="W10" i="2"/>
  <c r="V10" i="2"/>
  <c r="Q10" i="2"/>
  <c r="P10" i="2"/>
  <c r="N10" i="2"/>
  <c r="M10" i="2"/>
  <c r="R10" i="2" s="1"/>
  <c r="L10" i="2"/>
  <c r="BC10" i="2" s="1"/>
  <c r="BF9" i="2"/>
  <c r="BC9" i="2"/>
  <c r="X9" i="2"/>
  <c r="Z9" i="2" s="1"/>
  <c r="W9" i="2"/>
  <c r="V9" i="2"/>
  <c r="Q9" i="2"/>
  <c r="P9" i="2"/>
  <c r="N9" i="2"/>
  <c r="M9" i="2"/>
  <c r="R9" i="2" s="1"/>
  <c r="L9" i="2"/>
  <c r="BF8" i="2"/>
  <c r="BC8" i="2"/>
  <c r="X8" i="2"/>
  <c r="Z8" i="2" s="1"/>
  <c r="W8" i="2"/>
  <c r="V8" i="2"/>
  <c r="Q8" i="2"/>
  <c r="P8" i="2"/>
  <c r="N8" i="2"/>
  <c r="M8" i="2"/>
  <c r="R8" i="2" s="1"/>
  <c r="L8" i="2"/>
  <c r="BF7" i="2"/>
  <c r="X7" i="2"/>
  <c r="Z7" i="2" s="1"/>
  <c r="W7" i="2"/>
  <c r="BD7" i="2" s="1"/>
  <c r="V7" i="2"/>
  <c r="Q7" i="2"/>
  <c r="P7" i="2"/>
  <c r="N7" i="2"/>
  <c r="M7" i="2"/>
  <c r="R7" i="2" s="1"/>
  <c r="L7" i="2"/>
  <c r="BC7" i="2" s="1"/>
  <c r="BF6" i="2"/>
  <c r="BD6" i="2"/>
  <c r="BC6" i="2"/>
  <c r="X6" i="2"/>
  <c r="Z6" i="2" s="1"/>
  <c r="W6" i="2"/>
  <c r="V6" i="2"/>
  <c r="Q6" i="2"/>
  <c r="P6" i="2"/>
  <c r="N6" i="2"/>
  <c r="M6" i="2"/>
  <c r="R6" i="2" s="1"/>
  <c r="L6" i="2"/>
  <c r="BF5" i="2"/>
  <c r="X5" i="2"/>
  <c r="Z5" i="2" s="1"/>
  <c r="W5" i="2"/>
  <c r="V5" i="2"/>
  <c r="Q5" i="2"/>
  <c r="P5" i="2"/>
  <c r="N5" i="2"/>
  <c r="M5" i="2"/>
  <c r="R5" i="2" s="1"/>
  <c r="L5" i="2"/>
  <c r="BC5" i="2" s="1"/>
  <c r="BF4" i="2"/>
  <c r="BC4" i="2"/>
  <c r="X4" i="2"/>
  <c r="Z4" i="2" s="1"/>
  <c r="W4" i="2"/>
  <c r="V4" i="2"/>
  <c r="Q4" i="2"/>
  <c r="P4" i="2"/>
  <c r="N4" i="2"/>
  <c r="M4" i="2"/>
  <c r="R4" i="2" s="1"/>
  <c r="L4" i="2"/>
  <c r="BF3" i="2"/>
  <c r="X3" i="2"/>
  <c r="Z3" i="2" s="1"/>
  <c r="W3" i="2"/>
  <c r="BD3" i="2" s="1"/>
  <c r="V3" i="2"/>
  <c r="Q3" i="2"/>
  <c r="P3" i="2"/>
  <c r="N3" i="2"/>
  <c r="M3" i="2"/>
  <c r="R3" i="2" s="1"/>
  <c r="L3" i="2"/>
  <c r="BC3" i="2" s="1"/>
  <c r="BF2" i="2"/>
  <c r="X2" i="2"/>
  <c r="Z2" i="2" s="1"/>
  <c r="W2" i="2"/>
  <c r="V2" i="2"/>
  <c r="Q2" i="2"/>
  <c r="P2" i="2"/>
  <c r="N2" i="2"/>
  <c r="M2" i="2"/>
  <c r="R2" i="2" s="1"/>
  <c r="L2" i="2"/>
  <c r="C3" i="7" l="1"/>
  <c r="Y7" i="2"/>
  <c r="Y6" i="2"/>
  <c r="C10" i="7"/>
  <c r="Y3" i="2"/>
  <c r="S11" i="2"/>
  <c r="O11" i="2"/>
  <c r="Y9" i="2"/>
  <c r="BD9" i="2"/>
  <c r="S9" i="2"/>
  <c r="O9" i="2"/>
  <c r="O8" i="2"/>
  <c r="S8" i="2"/>
  <c r="U8" i="2"/>
  <c r="T8" i="2"/>
  <c r="AC8" i="2" s="1"/>
  <c r="Y5" i="2"/>
  <c r="BD5" i="2"/>
  <c r="S3" i="2"/>
  <c r="O3" i="2"/>
  <c r="Y11" i="2"/>
  <c r="BD11" i="2"/>
  <c r="U11" i="2"/>
  <c r="BC11" i="2"/>
  <c r="T11" i="2"/>
  <c r="BD10" i="2"/>
  <c r="Y10" i="2"/>
  <c r="S10" i="2"/>
  <c r="O10" i="2"/>
  <c r="U10" i="2"/>
  <c r="T10" i="2"/>
  <c r="T9" i="2"/>
  <c r="U9" i="2"/>
  <c r="BD8" i="2"/>
  <c r="Y8" i="2"/>
  <c r="AD8" i="2"/>
  <c r="AA8" i="2"/>
  <c r="AE8" i="2"/>
  <c r="AH8" i="2"/>
  <c r="AB8" i="2"/>
  <c r="S7" i="2"/>
  <c r="O7" i="2"/>
  <c r="U7" i="2"/>
  <c r="T7" i="2"/>
  <c r="S6" i="2"/>
  <c r="T6" i="2" s="1"/>
  <c r="O6" i="2"/>
  <c r="U6" i="2"/>
  <c r="S5" i="2"/>
  <c r="O5" i="2"/>
  <c r="U5" i="2"/>
  <c r="T5" i="2"/>
  <c r="BD4" i="2"/>
  <c r="Y4" i="2"/>
  <c r="O4" i="2"/>
  <c r="S4" i="2"/>
  <c r="U4" i="2"/>
  <c r="T4" i="2"/>
  <c r="U3" i="2"/>
  <c r="T3" i="2"/>
  <c r="B10" i="7"/>
  <c r="D10" i="7" a="1"/>
  <c r="D10" i="7" s="1"/>
  <c r="BD2" i="2"/>
  <c r="Y2" i="2"/>
  <c r="O2" i="2"/>
  <c r="C2" i="7" s="1"/>
  <c r="S2" i="2"/>
  <c r="BC2" i="2"/>
  <c r="C4" i="7" s="1"/>
  <c r="U2" i="2"/>
  <c r="T2" i="2"/>
  <c r="D3" i="7" l="1" a="1"/>
  <c r="D3" i="7" s="1"/>
  <c r="B3" i="7"/>
  <c r="AB5" i="2"/>
  <c r="AC5" i="2"/>
  <c r="AA11" i="2"/>
  <c r="AA10" i="2"/>
  <c r="AA9" i="2"/>
  <c r="AF8" i="2"/>
  <c r="AG8" i="2"/>
  <c r="AI8" i="2"/>
  <c r="BE8" i="2" s="1"/>
  <c r="AJ8" i="2"/>
  <c r="AK8" i="2"/>
  <c r="AL8" i="2"/>
  <c r="AM8" i="2"/>
  <c r="AA7" i="2"/>
  <c r="AA6" i="2"/>
  <c r="AA5" i="2"/>
  <c r="AA4" i="2"/>
  <c r="AA3" i="2"/>
  <c r="D2" i="7" a="1"/>
  <c r="D2" i="7" s="1"/>
  <c r="B2" i="7"/>
  <c r="D4" i="7" a="1"/>
  <c r="D4" i="7" s="1"/>
  <c r="B4" i="7"/>
  <c r="AA2" i="2"/>
  <c r="AB11" i="2"/>
  <c r="AC11" i="2"/>
  <c r="AC10" i="2"/>
  <c r="AB10" i="2"/>
  <c r="AC9" i="2"/>
  <c r="AB9" i="2"/>
  <c r="AC7" i="2"/>
  <c r="AB7" i="2"/>
  <c r="AC6" i="2"/>
  <c r="AB6" i="2"/>
  <c r="AB4" i="2"/>
  <c r="AC4" i="2"/>
  <c r="AB3" i="2"/>
  <c r="AC3" i="2"/>
  <c r="AB2" i="2"/>
  <c r="AC2" i="2"/>
  <c r="AD5" i="2" l="1"/>
  <c r="AF5" i="2" s="1"/>
  <c r="AH5" i="2" s="1"/>
  <c r="AE5" i="2"/>
  <c r="AN8" i="2"/>
  <c r="AO8" i="2"/>
  <c r="AP8" i="2"/>
  <c r="AQ8" i="2"/>
  <c r="AR8" i="2"/>
  <c r="AU8" i="2"/>
  <c r="AX8" i="2"/>
  <c r="BA8" i="2"/>
  <c r="AS8" i="2"/>
  <c r="AT8" i="2"/>
  <c r="AV8" i="2"/>
  <c r="AW8" i="2"/>
  <c r="AY8" i="2"/>
  <c r="AZ8" i="2"/>
  <c r="BB8" i="2"/>
  <c r="AG5" i="2"/>
  <c r="AD11" i="2"/>
  <c r="AE11" i="2"/>
  <c r="AD10" i="2"/>
  <c r="AE10" i="2"/>
  <c r="AD9" i="2"/>
  <c r="AE9" i="2"/>
  <c r="AD7" i="2"/>
  <c r="AE7" i="2"/>
  <c r="AD6" i="2"/>
  <c r="AE6" i="2"/>
  <c r="AD4" i="2"/>
  <c r="AE4" i="2"/>
  <c r="AD3" i="2"/>
  <c r="AE3" i="2"/>
  <c r="AE2" i="2"/>
  <c r="AD2" i="2"/>
  <c r="AM5" i="2" l="1"/>
  <c r="AL5" i="2"/>
  <c r="AK5" i="2"/>
  <c r="AJ5" i="2"/>
  <c r="AI5" i="2"/>
  <c r="BE5" i="2" s="1"/>
  <c r="AG11" i="2"/>
  <c r="AF11" i="2"/>
  <c r="AH11" i="2"/>
  <c r="AG10" i="2"/>
  <c r="AF10" i="2"/>
  <c r="AH10" i="2"/>
  <c r="AG9" i="2"/>
  <c r="AF9" i="2"/>
  <c r="AH9" i="2" s="1"/>
  <c r="AG7" i="2"/>
  <c r="AF7" i="2"/>
  <c r="AH7" i="2"/>
  <c r="AG6" i="2"/>
  <c r="AF6" i="2"/>
  <c r="AH6" i="2" s="1"/>
  <c r="AG4" i="2"/>
  <c r="AF4" i="2"/>
  <c r="AH4" i="2"/>
  <c r="AG3" i="2"/>
  <c r="AF3" i="2"/>
  <c r="AH3" i="2"/>
  <c r="AG2" i="2"/>
  <c r="AF2" i="2"/>
  <c r="AH2" i="2"/>
  <c r="AN5" i="2" l="1"/>
  <c r="AO5" i="2"/>
  <c r="AP5" i="2" s="1"/>
  <c r="AQ5" i="2"/>
  <c r="AR5" i="2"/>
  <c r="AT5" i="2"/>
  <c r="AY5" i="2"/>
  <c r="AM11" i="2"/>
  <c r="AL11" i="2"/>
  <c r="AK11" i="2"/>
  <c r="AJ11" i="2"/>
  <c r="AI11" i="2"/>
  <c r="BE11" i="2" s="1"/>
  <c r="AM10" i="2"/>
  <c r="AL10" i="2"/>
  <c r="AK10" i="2"/>
  <c r="AJ10" i="2"/>
  <c r="AI10" i="2"/>
  <c r="BE10" i="2" s="1"/>
  <c r="AM9" i="2"/>
  <c r="AL9" i="2"/>
  <c r="AK9" i="2"/>
  <c r="AJ9" i="2"/>
  <c r="AI9" i="2"/>
  <c r="BE9" i="2" s="1"/>
  <c r="AM7" i="2"/>
  <c r="AL7" i="2"/>
  <c r="AK7" i="2"/>
  <c r="AJ7" i="2"/>
  <c r="AI7" i="2"/>
  <c r="BE7" i="2" s="1"/>
  <c r="AI6" i="2"/>
  <c r="BE6" i="2" s="1"/>
  <c r="AJ6" i="2"/>
  <c r="AK6" i="2"/>
  <c r="AL6" i="2"/>
  <c r="AM6" i="2"/>
  <c r="AM4" i="2"/>
  <c r="AL4" i="2"/>
  <c r="AK4" i="2"/>
  <c r="AJ4" i="2"/>
  <c r="AI4" i="2"/>
  <c r="BE4" i="2" s="1"/>
  <c r="AM3" i="2"/>
  <c r="AL3" i="2"/>
  <c r="AK3" i="2"/>
  <c r="AJ3" i="2"/>
  <c r="AI3" i="2"/>
  <c r="BE3" i="2" s="1"/>
  <c r="AM2" i="2"/>
  <c r="AL2" i="2"/>
  <c r="C11" i="7"/>
  <c r="AK2" i="2"/>
  <c r="AJ2" i="2"/>
  <c r="AI2" i="2"/>
  <c r="C8" i="7"/>
  <c r="AW5" i="2" l="1"/>
  <c r="AS5" i="2"/>
  <c r="AN11" i="2"/>
  <c r="AO11" i="2"/>
  <c r="AP11" i="2"/>
  <c r="AQ11" i="2"/>
  <c r="AR11" i="2"/>
  <c r="AS11" i="2"/>
  <c r="AT11" i="2"/>
  <c r="AU11" i="2"/>
  <c r="AV11" i="2"/>
  <c r="AW11" i="2"/>
  <c r="AX11" i="2"/>
  <c r="AY11" i="2"/>
  <c r="AZ11" i="2"/>
  <c r="BA11" i="2"/>
  <c r="BB11" i="2"/>
  <c r="AN10" i="2"/>
  <c r="AO10" i="2"/>
  <c r="AP10" i="2"/>
  <c r="AQ10" i="2"/>
  <c r="AR10" i="2"/>
  <c r="AS10" i="2"/>
  <c r="AT10" i="2"/>
  <c r="AU10" i="2"/>
  <c r="AV10" i="2"/>
  <c r="AW10" i="2"/>
  <c r="AX10" i="2"/>
  <c r="AY10" i="2"/>
  <c r="AZ10" i="2"/>
  <c r="BA10" i="2"/>
  <c r="BB10" i="2"/>
  <c r="AN9" i="2"/>
  <c r="AO9" i="2"/>
  <c r="AP9" i="2"/>
  <c r="AQ9" i="2"/>
  <c r="AR9" i="2"/>
  <c r="AS9" i="2"/>
  <c r="AT9" i="2"/>
  <c r="AW9" i="2"/>
  <c r="AY9" i="2"/>
  <c r="AN7" i="2"/>
  <c r="AP7" i="2"/>
  <c r="AR7" i="2"/>
  <c r="AS7" i="2"/>
  <c r="AT7" i="2"/>
  <c r="AW7" i="2"/>
  <c r="AZ7" i="2"/>
  <c r="AO7" i="2"/>
  <c r="AQ7" i="2"/>
  <c r="AU7" i="2"/>
  <c r="AV7" i="2"/>
  <c r="AX7" i="2"/>
  <c r="AY7" i="2"/>
  <c r="BA7" i="2"/>
  <c r="BB7" i="2"/>
  <c r="AN6" i="2"/>
  <c r="AO6" i="2"/>
  <c r="AP6" i="2"/>
  <c r="AQ6" i="2"/>
  <c r="AR6" i="2"/>
  <c r="AS6" i="2"/>
  <c r="AT6" i="2"/>
  <c r="AU6" i="2"/>
  <c r="AV6" i="2"/>
  <c r="AW6" i="2"/>
  <c r="AX6" i="2"/>
  <c r="AY6" i="2"/>
  <c r="AZ6" i="2"/>
  <c r="BA6" i="2"/>
  <c r="BB6" i="2"/>
  <c r="AN4" i="2"/>
  <c r="AO4" i="2"/>
  <c r="AP4" i="2"/>
  <c r="AQ4" i="2"/>
  <c r="AR4" i="2"/>
  <c r="AS4" i="2"/>
  <c r="AT4" i="2"/>
  <c r="AU4" i="2"/>
  <c r="AV4" i="2"/>
  <c r="AW4" i="2"/>
  <c r="AX4" i="2"/>
  <c r="AY4" i="2"/>
  <c r="AZ4" i="2"/>
  <c r="BA4" i="2"/>
  <c r="BB4" i="2"/>
  <c r="AN3" i="2"/>
  <c r="AQ3" i="2"/>
  <c r="AR3" i="2"/>
  <c r="AT3" i="2" s="1"/>
  <c r="AY3" i="2"/>
  <c r="D11" i="7" a="1"/>
  <c r="D11" i="7" s="1"/>
  <c r="B11" i="7"/>
  <c r="B16" i="6"/>
  <c r="C5" i="7"/>
  <c r="AN2" i="2"/>
  <c r="AO2" i="2"/>
  <c r="AP2" i="2"/>
  <c r="AQ2" i="2"/>
  <c r="AR2" i="2"/>
  <c r="AS2" i="2"/>
  <c r="AT2" i="2"/>
  <c r="AU2" i="2"/>
  <c r="AV2" i="2"/>
  <c r="AW2" i="2"/>
  <c r="AX2" i="2"/>
  <c r="AY2" i="2"/>
  <c r="AZ2" i="2"/>
  <c r="BA2" i="2"/>
  <c r="BB2" i="2"/>
  <c r="B21" i="6"/>
  <c r="C6" i="7"/>
  <c r="B11" i="6"/>
  <c r="B12" i="6"/>
  <c r="B13" i="6"/>
  <c r="B15" i="6"/>
  <c r="BE2" i="2"/>
  <c r="B22" i="6" s="1"/>
  <c r="B10" i="6"/>
  <c r="B14" i="6"/>
  <c r="B8" i="7"/>
  <c r="D8" i="7" a="1"/>
  <c r="D8" i="7" s="1"/>
  <c r="AV5" i="2" l="1"/>
  <c r="AU5" i="2"/>
  <c r="AO3" i="2"/>
  <c r="AP3" i="2" s="1"/>
  <c r="D5" i="7" a="1"/>
  <c r="D5" i="7" s="1"/>
  <c r="B5" i="7"/>
  <c r="D6" i="7" a="1"/>
  <c r="D6" i="7" s="1"/>
  <c r="B6" i="7"/>
  <c r="B7" i="7"/>
  <c r="C7" i="7"/>
  <c r="AU9" i="2"/>
  <c r="AV9" i="2"/>
  <c r="AZ5" i="2" l="1"/>
  <c r="AX5" i="2"/>
  <c r="AW3" i="2"/>
  <c r="AS3" i="2"/>
  <c r="AZ9" i="2"/>
  <c r="AX9" i="2"/>
  <c r="BB5" i="2" l="1"/>
  <c r="BA5" i="2"/>
  <c r="AV3" i="2"/>
  <c r="C9" i="7" s="1"/>
  <c r="AU3" i="2"/>
  <c r="B17" i="6"/>
  <c r="BB9" i="2"/>
  <c r="BA9" i="2"/>
  <c r="D9" i="7" l="1" a="1"/>
  <c r="D9" i="7" s="1"/>
  <c r="B9" i="7"/>
  <c r="B13" i="7" s="1"/>
  <c r="AZ3" i="2"/>
  <c r="AX3" i="2"/>
  <c r="A11" i="1" l="1"/>
  <c r="B24" i="6"/>
  <c r="BB3" i="2"/>
  <c r="B20" i="6" s="1"/>
  <c r="BA3" i="2"/>
  <c r="B19" i="6" s="1"/>
  <c r="B18" i="6"/>
</calcChain>
</file>

<file path=xl/sharedStrings.xml><?xml version="1.0" encoding="utf-8"?>
<sst xmlns="http://schemas.openxmlformats.org/spreadsheetml/2006/main" count="339" uniqueCount="228">
  <si>
    <t>Payday Super review: s 18C deadlines and the SG charge estimate</t>
  </si>
  <si>
    <t>1. On Register, paste one contribution line per row over the example rows, in the eleven canonical columns the command line tool reads and the importer writes. Dates are real Excel dates; amounts are dollars; yes/no columns take yes, no or blank (no).</t>
  </si>
  <si>
    <t>2. On Summary, set the as-at date (notional earnings on unpaid lines run to it), an assessment date if the ATO has assessed, and the two confirmations the command line tool asks for: LCR 2026/1 transition allocation and remittance-only review.</t>
  </si>
  <si>
    <t>3. Read the calculated columns on Register: pathway, final deadline, verdict (ON_TIME, AT_RISK, LATE, UNPAID, UNKNOWN, SKIPPED), the conservative outer outcomes where the facts cannot decide, days late, final shortfall after s 18D, notional earnings, the uplift range and the experimental SG charge estimate range.</t>
  </si>
  <si>
    <t>4. Review Checks: BLOCKED means the register cannot be read or a required confirmation is missing. REVIEW means a line is exposed, a line is undecided, or the file cannot produce ON_TIME and remittance-only review is not confirmed. PASS mirrors the command line tool's exit code 0.</t>
  </si>
  <si>
    <t>5. The statutory test is receipt by the fund. A remittance date alone gives AT_RISK, never ON_TIME. Fill fund_received_date from the clearing house or fund before treating a verdict as final.</t>
  </si>
  <si>
    <t>6. Experimental review aid. Not a compliance determination. The ATO makes the assessment; choice loading, the maximum contributions base and post-assessment charges are not estimated.</t>
  </si>
  <si>
    <t>Overall status</t>
  </si>
  <si>
    <t>payday-super-checker workbook, engine 0.1.3. Macro-free. Not advice; see DISCLAIMER.md in the repository.</t>
  </si>
  <si>
    <t>employee_id</t>
  </si>
  <si>
    <t>payment_date</t>
  </si>
  <si>
    <t>sg_amount</t>
  </si>
  <si>
    <t>remitted_date</t>
  </si>
  <si>
    <t>remitted_amount</t>
  </si>
  <si>
    <t>matched_amount</t>
  </si>
  <si>
    <t>fund_received_date</t>
  </si>
  <si>
    <t>first_contribution_to_fund</t>
  </si>
  <si>
    <t>out_of_cycle</t>
  </si>
  <si>
    <t>next_standard_payday</t>
  </si>
  <si>
    <t>defined_benefit</t>
  </si>
  <si>
    <t>Flag_db</t>
  </si>
  <si>
    <t>Flag_ooc</t>
  </si>
  <si>
    <t>Flag_ftf</t>
  </si>
  <si>
    <t>Row_problem</t>
  </si>
  <si>
    <t>Guard</t>
  </si>
  <si>
    <t>Cap</t>
  </si>
  <si>
    <t>Due_ooc</t>
  </si>
  <si>
    <t>Due_ftf</t>
  </si>
  <si>
    <t>Own_due</t>
  </si>
  <si>
    <t>Own_pathway</t>
  </si>
  <si>
    <t>Earliest_prepay</t>
  </si>
  <si>
    <t>Settled</t>
  </si>
  <si>
    <t>Remit</t>
  </si>
  <si>
    <t>Receipt_credit</t>
  </si>
  <si>
    <t>Credit</t>
  </si>
  <si>
    <t>Evidence_own</t>
  </si>
  <si>
    <t>Confirmed_latest</t>
  </si>
  <si>
    <t>Possible_latest</t>
  </si>
  <si>
    <t>Final_due</t>
  </si>
  <si>
    <t>Pathway</t>
  </si>
  <si>
    <t>Possible_item4</t>
  </si>
  <si>
    <t>Past_horizon</t>
  </si>
  <si>
    <t>Branch</t>
  </si>
  <si>
    <t>Verdict</t>
  </si>
  <si>
    <t>Unassessable_between</t>
  </si>
  <si>
    <t>Exposed</t>
  </si>
  <si>
    <t>Stale_prepay</t>
  </si>
  <si>
    <t>OTRC</t>
  </si>
  <si>
    <t>Base_shortfall</t>
  </si>
  <si>
    <t>Offset_s18D</t>
  </si>
  <si>
    <t>Final_shortfall</t>
  </si>
  <si>
    <t>Lateness_basis</t>
  </si>
  <si>
    <t>Outstanding_to</t>
  </si>
  <si>
    <t>NEC_end</t>
  </si>
  <si>
    <t>Days_late</t>
  </si>
  <si>
    <t>NEC</t>
  </si>
  <si>
    <t>GIC_estimated</t>
  </si>
  <si>
    <t>Shortfall_r</t>
  </si>
  <si>
    <t>NEC_r</t>
  </si>
  <si>
    <t>Uplift_best</t>
  </si>
  <si>
    <t>Uplift_worst</t>
  </si>
  <si>
    <t>SGC_low</t>
  </si>
  <si>
    <t>SGC_high</t>
  </si>
  <si>
    <t>Transition_row</t>
  </si>
  <si>
    <t>Receipt_established</t>
  </si>
  <si>
    <t>Assessable</t>
  </si>
  <si>
    <t>Duplicate</t>
  </si>
  <si>
    <t>EMP001</t>
  </si>
  <si>
    <t>no</t>
  </si>
  <si>
    <t>EMP002</t>
  </si>
  <si>
    <t>EMP003</t>
  </si>
  <si>
    <t>EMP004</t>
  </si>
  <si>
    <t>EMP005</t>
  </si>
  <si>
    <t>yes</t>
  </si>
  <si>
    <t>EMP006</t>
  </si>
  <si>
    <t>EMP007</t>
  </si>
  <si>
    <t>code</t>
  </si>
  <si>
    <t>verdict</t>
  </si>
  <si>
    <t>unassessable</t>
  </si>
  <si>
    <t>otrc</t>
  </si>
  <si>
    <t>stale</t>
  </si>
  <si>
    <t>exposed</t>
  </si>
  <si>
    <t>DB</t>
  </si>
  <si>
    <t>SKIPPED</t>
  </si>
  <si>
    <t>NIL</t>
  </si>
  <si>
    <t>UNKNOWN</t>
  </si>
  <si>
    <t>A1</t>
  </si>
  <si>
    <t>ON_TIME</t>
  </si>
  <si>
    <t>A2</t>
  </si>
  <si>
    <t>A3</t>
  </si>
  <si>
    <t>UNPAID or NOT_YET_DUE</t>
  </si>
  <si>
    <t>A4</t>
  </si>
  <si>
    <t>UNPAID</t>
  </si>
  <si>
    <t>S1</t>
  </si>
  <si>
    <t>S2</t>
  </si>
  <si>
    <t>LATE or NOT_YET_DUE</t>
  </si>
  <si>
    <t>S3</t>
  </si>
  <si>
    <t>LATE</t>
  </si>
  <si>
    <t>B1</t>
  </si>
  <si>
    <t>LATE or ON_TIME</t>
  </si>
  <si>
    <t>B2</t>
  </si>
  <si>
    <t>B3</t>
  </si>
  <si>
    <t>LATE or UNPAID</t>
  </si>
  <si>
    <t>C1</t>
  </si>
  <si>
    <t>C2</t>
  </si>
  <si>
    <t>D1</t>
  </si>
  <si>
    <t>D2</t>
  </si>
  <si>
    <t>D3</t>
  </si>
  <si>
    <t>D4</t>
  </si>
  <si>
    <t>E</t>
  </si>
  <si>
    <t>R1</t>
  </si>
  <si>
    <t>LATE or AT_RISK</t>
  </si>
  <si>
    <t>R2</t>
  </si>
  <si>
    <t>R3</t>
  </si>
  <si>
    <t>AT_RISK</t>
  </si>
  <si>
    <t>R4</t>
  </si>
  <si>
    <t>N1</t>
  </si>
  <si>
    <t>N2</t>
  </si>
  <si>
    <t>N3</t>
  </si>
  <si>
    <t>date</t>
  </si>
  <si>
    <t>name</t>
  </si>
  <si>
    <t>jurisdictions</t>
  </si>
  <si>
    <t>New Year's Day</t>
  </si>
  <si>
    <t>ACT, NSW, NT, QLD, SA, TAS, VIC, WA</t>
  </si>
  <si>
    <t>Australia Day</t>
  </si>
  <si>
    <t>Labour Day</t>
  </si>
  <si>
    <t>WA</t>
  </si>
  <si>
    <t>Adelaide Cup Day; Canberra Day; Eight Hours Day; Labour Day</t>
  </si>
  <si>
    <t>ACT, SA, TAS, VIC</t>
  </si>
  <si>
    <t>Good Friday</t>
  </si>
  <si>
    <t>Easter Saturday</t>
  </si>
  <si>
    <t>ACT, NSW, NT, QLD, SA, VIC</t>
  </si>
  <si>
    <t>Easter Sunday</t>
  </si>
  <si>
    <t>ACT, NSW, NT, QLD, SA, VIC, WA</t>
  </si>
  <si>
    <t>Easter Monday</t>
  </si>
  <si>
    <t>ANZAC Day</t>
  </si>
  <si>
    <t>ANZAC Day (observed)</t>
  </si>
  <si>
    <t>ACT, NSW, WA</t>
  </si>
  <si>
    <t>Labour Day; May Day</t>
  </si>
  <si>
    <t>NT, QLD</t>
  </si>
  <si>
    <t>Reconciliation Day; Western Australia Day</t>
  </si>
  <si>
    <t>ACT, WA</t>
  </si>
  <si>
    <t>King's Birthday</t>
  </si>
  <si>
    <t>ACT, NSW, NT, SA, TAS, VIC</t>
  </si>
  <si>
    <t>Picnic Day</t>
  </si>
  <si>
    <t>NT</t>
  </si>
  <si>
    <t>Friday before the AFL Grand Final</t>
  </si>
  <si>
    <t>VIC</t>
  </si>
  <si>
    <t>King's Birthday; Labour Day</t>
  </si>
  <si>
    <t>ACT, NSW, QLD, SA</t>
  </si>
  <si>
    <t>Christmas Day</t>
  </si>
  <si>
    <t>Boxing Day; Proclamation Day</t>
  </si>
  <si>
    <t>Boxing Day; Boxing Day (observed); Proclamation Day (observed)</t>
  </si>
  <si>
    <t>NSW, SA, TAS, VIC, WA</t>
  </si>
  <si>
    <t>ANZAC Day; ANZAC Day (observed)</t>
  </si>
  <si>
    <t>ACT, NSW, NT, QLD, WA</t>
  </si>
  <si>
    <t>Reconciliation Day</t>
  </si>
  <si>
    <t>ACT</t>
  </si>
  <si>
    <t>Western Australia Day</t>
  </si>
  <si>
    <t>Christmas Day (observed)</t>
  </si>
  <si>
    <t>Whole-of-jurisdiction public holidays under SGAA s 6(1); weekends are computed. Official sources checked through 2027-08-31. To review a later deadline, add the official dates here and move the coverage date on Summary.</t>
  </si>
  <si>
    <t>Provisional dates not applied (business days until confirmed): 2027-09-24 Friday before the AFL Grand Final; 2028-01-01 New Year's Day; 2028-01-03 New Year's Day; New Year's Day (observed); 2028-01-26 Australia Day; 2028-03-06 Labour Day; 2028-03-13 Adelaide Cup Day; Canberra Day; Eight Hours Day; Labour Day; 2028-04-14 Good Friday; 2028-04-15 Easter Saturday; 2028-04-16 Easter Sunday; 2028-04-17 Easter Monday; 2028-04-25 ANZAC Day; 2028-05-01 Labour Day; May Day; 2028-05-29 Reconciliation Day; 2028-06-05 Western Australia Day; 2028-06-12 King's Birthday; 2028-08-07 Picnic Day; 2028-09-29 Friday before the AFL Grand Final; 2028-10-02 King's Birthday; Labour Day; 2028-12-25 Christmas Day; 2028-12-26 Boxing Day; Proclamation Day</t>
  </si>
  <si>
    <t>from</t>
  </si>
  <si>
    <t>to</t>
  </si>
  <si>
    <t>annual_pct</t>
  </si>
  <si>
    <t>divisor</t>
  </si>
  <si>
    <t>basis</t>
  </si>
  <si>
    <t>seen</t>
  </si>
  <si>
    <t>known</t>
  </si>
  <si>
    <t>2026-08-14</t>
  </si>
  <si>
    <t>estimate</t>
  </si>
  <si>
    <t>General interest charge, TAA 1953 s 8AAD: annual rate divided by the days in the calendar year. Rows marked estimate carry the last known rate forward, as the engine does, and the workbook flags any line that uses them. Update each quarter from the ATO GIC rates page and set basis to known.</t>
  </si>
  <si>
    <t>Inputs</t>
  </si>
  <si>
    <t>As-at date (notional earnings on unpaid lines run to it)</t>
  </si>
  <si>
    <t>ATO assessment date (blank if none has issued)</t>
  </si>
  <si>
    <t>LCR 2026/1 transition allocation reconciled and confirmed (Y/N)</t>
  </si>
  <si>
    <t>Y</t>
  </si>
  <si>
    <t>Remittance-only review accepted (Y/N)</t>
  </si>
  <si>
    <t>N</t>
  </si>
  <si>
    <t>Holiday coverage verified until</t>
  </si>
  <si>
    <t>GIC table last known quarter ends</t>
  </si>
  <si>
    <t>Summary</t>
  </si>
  <si>
    <t>Lines with exposure</t>
  </si>
  <si>
    <t>Total final shortfall</t>
  </si>
  <si>
    <t>Total notional earnings</t>
  </si>
  <si>
    <t>Experimental SG charge estimate, low</t>
  </si>
  <si>
    <t>Experimental SG charge estimate, high</t>
  </si>
  <si>
    <t>Attention-driving UNKNOWN lines</t>
  </si>
  <si>
    <t>Remittance-only file (no assessable line has a fund receipt)</t>
  </si>
  <si>
    <t>Check</t>
  </si>
  <si>
    <t>Result</t>
  </si>
  <si>
    <t>Count or value</t>
  </si>
  <si>
    <t>Example row (employee_id)</t>
  </si>
  <si>
    <t>Every register value can be read</t>
  </si>
  <si>
    <t>No formula in an input cell</t>
  </si>
  <si>
    <t>Contributions dated on or before 28 July 2026 are reconciled under LCR 2026/1</t>
  </si>
  <si>
    <t>No line is LATE or UNPAID</t>
  </si>
  <si>
    <t>No line is left undecided by the deadline facts</t>
  </si>
  <si>
    <t>The file can produce ON_TIME, or remittance-only review is accepted</t>
  </si>
  <si>
    <t>Deadlines inside the holiday coverage (figures past it are a maximum)</t>
  </si>
  <si>
    <t>Notional earnings use only known GIC quarters</t>
  </si>
  <si>
    <t>No identical lines (a doubled export counts a payday twice)</t>
  </si>
  <si>
    <t>Lines assessed at a nil SG amount (nothing to assess)</t>
  </si>
  <si>
    <t>Assumptions the engine prints with every run</t>
  </si>
  <si>
    <t>The statutory test is receipt by the fund with enough information to allocate it (SGAA s 18C(1)(c)). A remittance date is operational evidence only; clearing-house transit is the employer's risk.</t>
  </si>
  <si>
    <t>Item 4 (s 18C(2)) aligns a later payday only to an earlier eligible contribution the register evidences as received on time; a positive amount or a remittance alone gives a possible upper bound and an attention-driving UNKNOWN where it would change the verdict.</t>
  </si>
  <si>
    <t>Notional earnings compound daily at the general interest charge on the base shortfall from the day after the deadline while the final shortfall remains greater than nil (s 19A, LCR 2026/3). A part receipt does not slow the accrual.</t>
  </si>
  <si>
    <t>The uplift range runs from 0 per cent (clean history and a voluntary disclosure within 30 days) to 60 per cent (prior history, no disclosure). The ATO, not this workbook, decides which reductions apply.</t>
  </si>
  <si>
    <t>Each exposure component is rounded to cents half up and the totals are built from the rounded parts. TAA 1953 s 16B applies a five-cent down-round only to the Commissioner's final assessed charge, which is not reproduced.</t>
  </si>
  <si>
    <t>Not estimated: choice loading, the maximum contributions base, the late payment penalty, interest after assessment, exceptional-circumstances determinations, fund deed and award obligations, and paydays before 1 July 2026.</t>
  </si>
  <si>
    <t>Item</t>
  </si>
  <si>
    <t>Value</t>
  </si>
  <si>
    <t>Workbook engine version</t>
  </si>
  <si>
    <t>0.1.3</t>
  </si>
  <si>
    <t>Desktop Excel build used to calculate cached values</t>
  </si>
  <si>
    <t>Law</t>
  </si>
  <si>
    <t>Superannuation Guarantee (Administration) Act 1992 as amended by the Treasury Laws Amendment (Payday Superannuation) Act 2025 (No. 57 of 2025) and the Superannuation Guarantee Charge Amendment Act 2025 (No. 58 of 2025); Payday Superannuation Regulations 2026 (F2026L00133); F2026L00784; LCR 2026/1, 2026/2 and 2026/3</t>
  </si>
  <si>
    <t>Primary-source review</t>
  </si>
  <si>
    <t>docs/primary-source-review-2026-08-15.md in the repository</t>
  </si>
  <si>
    <t>Holiday calendar</t>
  </si>
  <si>
    <t>Official whole-of-jurisdiction sources checked through 2027-08-31</t>
  </si>
  <si>
    <t>GIC rates</t>
  </si>
  <si>
    <t>ATO general interest charge rates, known through 2026-09-30; later days carry the last known rate as an estimate</t>
  </si>
  <si>
    <t>No-install explainer</t>
  </si>
  <si>
    <t>https://duguid.com.au/tools/payday-super/</t>
  </si>
  <si>
    <t>Disclaimer</t>
  </si>
  <si>
    <t>Experimental review aid. Not a compliance determination, not an ATO assessment, and not tax, legal or financial advice.</t>
  </si>
  <si>
    <t>Excel 16.0 build 20326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</si>
</sst>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yyyy\-mm\-dd"/>
    <numFmt numFmtId="165" formatCode="_(* #,##0.00_);_(* \(#,##0.00\);_(* &quot;-&quot;??_);_(@_)"/>
  </numFmts>
  <fonts count="6" x14ac:knownFonts="1">
    <font>
      <sz val="11"/>
      <color theme="1"/>
      <name val="Calibri"/>
      <family val="2"/>
      <scheme val="minor"/>
    </font>
    <font>
      <b/>
      <sz val="14"/>
      <color rgb="FF5C2D91"/>
      <name val="Calibri"/>
    </font>
    <font>
      <b/>
      <sz val="11"/>
      <name val="Calibri"/>
    </font>
    <font>
      <b/>
      <sz val="14"/>
      <name val="Calibri"/>
    </font>
    <font>
      <b/>
      <sz val="11"/>
      <color rgb="FFFFFFFF"/>
      <name val="Calibri"/>
    </font>
    <font>
      <sz val="11"/>
      <color rgb="FF1F4E9E"/>
      <name val="Calibri"/>
    </font>
  </fonts>
  <fills count="5">
    <fill>
      <patternFill patternType="none"/>
    </fill>
    <fill>
      <patternFill patternType="gray125"/>
    </fill>
    <fill>
      <patternFill patternType="solid">
        <fgColor rgb="FFF3F1F6"/>
      </patternFill>
    </fill>
    <fill>
      <patternFill patternType="solid">
        <fgColor rgb="FF5C2D91"/>
      </patternFill>
    </fill>
    <fill>
      <patternFill patternType="solid">
        <fgColor rgb="FFE2E0DF"/>
      </patternFill>
    </fill>
  </fills>
  <borders count="1">
    <border>
      <left/>
      <right/>
      <top/>
      <bottom/>
      <diagonal/>
    </border>
  </borders>
  <cellStyleXfs count="1">
    <xf numFmtId="0" fontId="0" fillId="0" borderId="0"/>
  </cellStyleXfs>
  <cellXfs count="17">
    <xf numFmtId="0" fontId="0" fillId="0" borderId="0" xfId="0"/>
    <xf numFmtId="0" fontId="1" fillId="0" borderId="0" xfId="0" applyFont="1"/>
    <xf numFmtId="0" fontId="0" fillId="0" borderId="0" xfId="0" applyAlignment="1">
      <alignment vertical="top" wrapText="1"/>
    </xf>
    <xf numFmtId="0" fontId="2" fillId="0" borderId="0" xfId="0" applyFont="1"/>
    <xf numFmtId="0" fontId="3" fillId="2" borderId="0" xfId="0" applyFont="1" applyFill="1"/>
    <xf numFmtId="0" fontId="4" fillId="3" borderId="0" xfId="0" applyFont="1" applyFill="1"/>
    <xf numFmtId="49" fontId="5" fillId="4" borderId="0" xfId="0" applyNumberFormat="1" applyFont="1" applyFill="1"/>
    <xf numFmtId="164" fontId="5" fillId="4" borderId="0" xfId="0" applyNumberFormat="1" applyFont="1" applyFill="1"/>
    <xf numFmtId="165" fontId="5" fillId="4" borderId="0" xfId="0" applyNumberFormat="1" applyFont="1" applyFill="1"/>
    <xf numFmtId="0" fontId="0" fillId="2" borderId="0" xfId="0" applyFill="1"/>
    <xf numFmtId="165" fontId="0" fillId="2" borderId="0" xfId="0" applyNumberFormat="1" applyFill="1"/>
    <xf numFmtId="164" fontId="0" fillId="2" borderId="0" xfId="0" applyNumberFormat="1" applyFill="1"/>
    <xf numFmtId="0" fontId="5" fillId="4" borderId="0" xfId="0" applyFont="1" applyFill="1"/>
    <xf numFmtId="164" fontId="5" fillId="4" borderId="0" xfId="0" applyNumberFormat="1" applyFont="1" applyFill="1" applyProtection="1">
      <protection locked="0"/>
    </xf>
    <xf numFmtId="0" fontId="5" fillId="4" borderId="0" xfId="0" applyFont="1" applyFill="1" applyProtection="1">
      <protection locked="0"/>
    </xf>
    <xf numFmtId="0" fontId="2" fillId="2" borderId="0" xfId="0" applyFont="1" applyFill="1"/>
    <xf numFmtId="0" fontId="0" fillId="0" borderId="0" xfId="0" applyAlignment="1">
      <alignment wrapText="1"/>
    </xf>
  </cellXfs>
  <cellStyles count="1">
    <cellStyle name="Normal" xfId="0" builtinId="0"/>
  </cellStyles>
  <dxfs count="9">
    <dxf>
      <fill>
        <patternFill patternType="solid">
          <fgColor rgb="FFD4EDDA"/>
        </patternFill>
      </fill>
    </dxf>
    <dxf>
      <fill>
        <patternFill patternType="solid">
          <fgColor rgb="FFFFF3CD"/>
        </patternFill>
      </fill>
    </dxf>
    <dxf>
      <fill>
        <patternFill patternType="solid">
          <fgColor rgb="FFF8D7DA"/>
        </patternFill>
      </fill>
    </dxf>
    <dxf>
      <fill>
        <patternFill patternType="solid">
          <fgColor rgb="FFD4EDDA"/>
        </patternFill>
      </fill>
    </dxf>
    <dxf>
      <fill>
        <patternFill patternType="solid">
          <fgColor rgb="FFFFF3CD"/>
        </patternFill>
      </fill>
    </dxf>
    <dxf>
      <fill>
        <patternFill patternType="solid">
          <fgColor rgb="FFF8D7DA"/>
        </patternFill>
      </fill>
    </dxf>
    <dxf>
      <fill>
        <patternFill patternType="solid">
          <fgColor rgb="FFD4EDDA"/>
        </patternFill>
      </fill>
    </dxf>
    <dxf>
      <fill>
        <patternFill patternType="solid">
          <fgColor rgb="FFFFF3CD"/>
        </patternFill>
      </fill>
    </dxf>
    <dxf>
      <fill>
        <patternFill patternType="solid">
          <fgColor rgb="FFF8D7DA"/>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blLines" displayName="tblLines" ref="A1:BF11">
  <tableColumns count="58">
    <tableColumn id="1" xr3:uid="{00000000-0010-0000-0000-000001000000}" name="employee_id"/>
    <tableColumn id="2" xr3:uid="{00000000-0010-0000-0000-000002000000}" name="payment_date"/>
    <tableColumn id="3" xr3:uid="{00000000-0010-0000-0000-000003000000}" name="sg_amount"/>
    <tableColumn id="4" xr3:uid="{00000000-0010-0000-0000-000004000000}" name="remitted_date"/>
    <tableColumn id="5" xr3:uid="{00000000-0010-0000-0000-000005000000}" name="remitted_amount"/>
    <tableColumn id="6" xr3:uid="{00000000-0010-0000-0000-000006000000}" name="matched_amount"/>
    <tableColumn id="7" xr3:uid="{00000000-0010-0000-0000-000007000000}" name="fund_received_date"/>
    <tableColumn id="8" xr3:uid="{00000000-0010-0000-0000-000008000000}" name="first_contribution_to_fund"/>
    <tableColumn id="9" xr3:uid="{00000000-0010-0000-0000-000009000000}" name="out_of_cycle"/>
    <tableColumn id="10" xr3:uid="{00000000-0010-0000-0000-00000A000000}" name="next_standard_payday"/>
    <tableColumn id="11" xr3:uid="{00000000-0010-0000-0000-00000B000000}" name="defined_benefit"/>
    <tableColumn id="12" xr3:uid="{00000000-0010-0000-0000-00000C000000}" name="Flag_db">
      <calculatedColumnFormula>IF(OR(LOWER(TRIM(tblLines[[#This Row],[defined_benefit]]&amp;""))={"1","t","true","y","yes"}),1,IF(OR(LOWER(TRIM(tblLines[[#This Row],[defined_benefit]]&amp;""))={"","0","f","false","n","no"}),0,""))</calculatedColumnFormula>
    </tableColumn>
    <tableColumn id="13" xr3:uid="{00000000-0010-0000-0000-00000D000000}" name="Flag_ooc">
      <calculatedColumnFormula>IF(OR(LOWER(TRIM(tblLines[[#This Row],[out_of_cycle]]&amp;""))={"1","t","true","y","yes"}),1,IF(OR(LOWER(TRIM(tblLines[[#This Row],[out_of_cycle]]&amp;""))={"","0","f","false","n","no"}),0,""))</calculatedColumnFormula>
    </tableColumn>
    <tableColumn id="14" xr3:uid="{00000000-0010-0000-0000-00000E000000}" name="Flag_ftf">
      <calculatedColumnFormula>IF(OR(LOWER(TRIM(tblLines[[#This Row],[first_contribution_to_fund]]&amp;""))={"1","t","true","y","yes"}),1,IF(OR(LOWER(TRIM(tblLines[[#This Row],[first_contribution_to_fund]]&amp;""))={"","0","f","false","n","no"}),0,""))</calculatedColumnFormula>
    </tableColumn>
    <tableColumn id="15" xr3:uid="{00000000-0010-0000-0000-00000F000000}" name="Row_problem">
      <calculatedColumnFormula>TRIM(IF(OR(AND(tblLines[[#This Row],[payment_date]]&lt;&gt;"",NOT(ISNUMBER(tblLines[[#This Row],[payment_date]]))),AND(tblLines[[#This Row],[remitted_date]]&lt;&gt;"",NOT(ISNUMBER(tblLines[[#This Row],[remitted_date]]))),AND(tblLines[[#This Row],[fund_received_date]]&lt;&gt;"",NOT(ISNUMBER(tblLines[[#This Row],[fund_received_date]]))),AND(tblLines[[#This Row],[next_standard_payday]]&lt;&gt;"",NOT(ISNUMBER(tblLines[[#This Row],[next_standard_payday]])))),"date ","")&amp;IF(NOT(ISNUMBER(tblLines[[#This Row],[payment_date]])),"payment_date ","")&amp;IF(AND(ISNUMBER(tblLines[[#This Row],[payment_date]]),tblLines[[#This Row],[payment_date]]&lt;DATE(2026,7,1)),"pre-1-Jul-2026 ","")&amp;IF(OR(AND(tblLines[[#This Row],[sg_amount]]&lt;&gt;"",OR(NOT(ISNUMBER(tblLines[[#This Row],[sg_amount]])),tblLines[[#This Row],[sg_amount]]&lt;0)),AND(tblLines[[#This Row],[remitted_amount]]&lt;&gt;"",OR(NOT(ISNUMBER(tblLines[[#This Row],[remitted_amount]])),tblLines[[#This Row],[remitted_amount]]&lt;0)),AND(tblLines[[#This Row],[matched_amount]]&lt;&gt;"",OR(NOT(ISNUMBER(tblLines[[#This Row],[matched_amount]])),tblLines[[#This Row],[matched_amount]]&lt;0))),"amount ","")&amp;IF(NOT(ISNUMBER(tblLines[[#This Row],[sg_amount]])),"sg_amount ","")&amp;IF(OR(tblLines[[#This Row],[Flag_ftf]]="",tblLines[[#This Row],[Flag_ooc]]="",tblLines[[#This Row],[Flag_db]]=""),"yes/no ","")&amp;IF(AND(ISNUMBER(tblLines[[#This Row],[remitted_amount]]),ISNUMBER(tblLines[[#This Row],[sg_amount]]),tblLines[[#This Row],[remitted_amount]]&gt;tblLines[[#This Row],[sg_amount]]),"remitted_amount&gt;sg ","")&amp;IF(AND(ISNUMBER(tblLines[[#This Row],[remitted_amount]]),NOT(ISNUMBER(tblLines[[#This Row],[remitted_date]]))),"remitted_amount-needs-date ","")&amp;IF(AND(ISNUMBER(tblLines[[#This Row],[matched_amount]]),ISNUMBER(tblLines[[#This Row],[sg_amount]]),tblLines[[#This Row],[matched_amount]]&gt;tblLines[[#This Row],[sg_amount]]),"matched_amount&gt;sg ","")&amp;IF(AND(ISNUMBER(tblLines[[#This Row],[matched_amount]]),ISNUMBER(tblLines[[#This Row],[remitted_amount]]),tblLines[[#This Row],[remitted_amount]]&gt;tblLines[[#This Row],[matched_amount]]),"remitted_amount&gt;matched ","")&amp;IF(AND(ISNUMBER(tblLines[[#This Row],[matched_amount]]),ISNUMBER(tblLines[[#This Row],[sg_amount]]),tblLines[[#This Row],[matched_amount]]&lt;tblLines[[#This Row],[sg_amount]],ISNUMBER(tblLines[[#This Row],[remitted_date]]),NOT(ISNUMBER(tblLines[[#This Row],[remitted_amount]]))),"partial-match-needs-remitted_amount ","")&amp;IF(AND(ISNUMBER(tblLines[[#This Row],[fund_received_date]]),ISNUMBER(tblLines[[#This Row],[remitted_date]]),tblLines[[#This Row],[fund_received_date]]&lt;tblLines[[#This Row],[remitted_date]]),"receipt-before-remittance ","")&amp;IF(AND(tblLines[[#This Row],[Flag_ooc]]=1,NOT(ISNUMBER(tblLines[[#This Row],[next_standard_payday]]))),"out_of_cycle-needs-next_standard_payday ","")&amp;IF(AND(tblLines[[#This Row],[Flag_ooc]]=1,ISNUMBER(tblLines[[#This Row],[next_standard_payday]]),ISNUMBER(tblLines[[#This Row],[payment_date]]),tblLines[[#This Row],[next_standard_payday]]&lt;=tblLines[[#This Row],[payment_date]]),"next_standard_payday-not-after-payday ",""))</calculatedColumnFormula>
    </tableColumn>
    <tableColumn id="16" xr3:uid="{00000000-0010-0000-0000-000010000000}" name="Guard">
      <calculatedColumnFormula>IF(OR(_xlfn.ISFORMULA(tblLines[[#This Row],[employee_id]]),_xlfn.ISFORMULA(tblLines[[#This Row],[payment_date]]),_xlfn.ISFORMULA(tblLines[[#This Row],[sg_amount]]),_xlfn.ISFORMULA(tblLines[[#This Row],[remitted_date]]),_xlfn.ISFORMULA(tblLines[[#This Row],[remitted_amount]]),_xlfn.ISFORMULA(tblLines[[#This Row],[matched_amount]]),_xlfn.ISFORMULA(tblLines[[#This Row],[fund_received_date]]),_xlfn.ISFORMULA(tblLines[[#This Row],[first_contribution_to_fund]]),_xlfn.ISFORMULA(tblLines[[#This Row],[out_of_cycle]]),_xlfn.ISFORMULA(tblLines[[#This Row],[next_standard_payday]]),_xlfn.ISFORMULA(tblLines[[#This Row],[defined_benefit]])),1,0)</calculatedColumnFormula>
    </tableColumn>
    <tableColumn id="17" xr3:uid="{00000000-0010-0000-0000-000011000000}" name="Cap">
      <calculatedColumnFormula>IF(ISNUMBER(tblLines[[#This Row],[matched_amount]]),tblLines[[#This Row],[matched_amount]],IF(ISNUMBER(tblLines[[#This Row],[remitted_amount]]),tblLines[[#This Row],[remitted_amount]],tblLines[[#This Row],[sg_amount]]))</calculatedColumnFormula>
    </tableColumn>
    <tableColumn id="18" xr3:uid="{00000000-0010-0000-0000-000012000000}" name="Due_ooc">
      <calculatedColumnFormula>IF(AND(tblLines[[#This Row],[Flag_ooc]]=1,ISNUMBER(tblLines[[#This Row],[next_standard_payday]])),WORKDAY.INTL(tblLines[[#This Row],[next_standard_payday]],7,1,tblHolidays[date]),"")</calculatedColumnFormula>
    </tableColumn>
    <tableColumn id="19" xr3:uid="{00000000-0010-0000-0000-000013000000}" name="Due_ftf">
      <calculatedColumnFormula>IF(tblLines[[#This Row],[Flag_ftf]]=1,WORKDAY.INTL(tblLines[[#This Row],[payment_date]],20,1,tblHolidays[date]),"")</calculatedColumnFormula>
    </tableColumn>
    <tableColumn id="20" xr3:uid="{00000000-0010-0000-0000-000014000000}" name="Own_due">
      <calculatedColumnFormula>IF(OR(tblLines[[#This Row],[Flag_db]]=1,NOT(ISNUMBER(tblLines[[#This Row],[payment_date]]))),"",IF(OR(tblLines[[#This Row],[Flag_ooc]]=1,tblLines[[#This Row],[Flag_ftf]]=1),MAX(tblLines[[#This Row],[Due_ooc]],tblLines[[#This Row],[Due_ftf]]),WORKDAY.INTL(tblLines[[#This Row],[payment_date]],7,1,tblHolidays[date])))</calculatedColumnFormula>
    </tableColumn>
    <tableColumn id="21" xr3:uid="{00000000-0010-0000-0000-000015000000}" name="Own_pathway">
      <calculatedColumnFormula>IF(tblLines[[#This Row],[Flag_db]]=1,"SKIP_DB",IF(tblLines[[#This Row],[Flag_ooc]]=1,IF(AND(tblLines[[#This Row],[Flag_ftf]]=1,tblLines[[#This Row],[Due_ftf]]&gt;tblLines[[#This Row],[Due_ooc]]),"EXTENDED_20BD","OUT_OF_CYCLE"),IF(tblLines[[#This Row],[Flag_ftf]]=1,"EXTENDED_20BD","USUAL_7BD")))</calculatedColumnFormula>
    </tableColumn>
    <tableColumn id="22" xr3:uid="{00000000-0010-0000-0000-000016000000}" name="Earliest_prepay">
      <calculatedColumnFormula>IF(ISNUMBER(tblLines[[#This Row],[payment_date]]),EDATE(tblLines[[#This Row],[payment_date]]-1,-12)+1,"")</calculatedColumnFormula>
    </tableColumn>
    <tableColumn id="23" xr3:uid="{00000000-0010-0000-0000-000017000000}" name="Settled">
      <calculatedColumnFormula>IF(AND(ISNUMBER(tblLines[[#This Row],[fund_received_date]]),tblLines[[#This Row],[fund_received_date]]&lt;=Summary!$B$2),tblLines[[#This Row],[fund_received_date]],"")</calculatedColumnFormula>
    </tableColumn>
    <tableColumn id="24" xr3:uid="{00000000-0010-0000-0000-000018000000}" name="Remit">
      <calculatedColumnFormula>IF(AND(ISNUMBER(tblLines[[#This Row],[remitted_date]]),tblLines[[#This Row],[remitted_date]]&lt;=Summary!$B$2),tblLines[[#This Row],[remitted_date]],"")</calculatedColumnFormula>
    </tableColumn>
    <tableColumn id="25" xr3:uid="{00000000-0010-0000-0000-000019000000}" name="Receipt_credit">
      <calculatedColumnFormula>IF(tblLines[[#This Row],[Settled]]&lt;&gt;"",MIN(ROUND(tblLines[[#This Row],[Cap]],2),ROUND(tblLines[[#This Row],[sg_amount]],2)),0)</calculatedColumnFormula>
    </tableColumn>
    <tableColumn id="26" xr3:uid="{00000000-0010-0000-0000-00001A000000}" name="Credit">
      <calculatedColumnFormula>IF(ISNUMBER(tblLines[[#This Row],[remitted_amount]]),IF(tblLines[[#This Row],[Remit]]&lt;&gt;"",MIN(ROUND(tblLines[[#This Row],[remitted_amount]],2),ROUND(tblLines[[#This Row],[sg_amount]],2)),0),IF(tblLines[[#This Row],[Remit]]&lt;&gt;"",ROUND(tblLines[[#This Row],[sg_amount]],2),0))</calculatedColumnFormula>
    </tableColumn>
    <tableColumn id="27" xr3:uid="{00000000-0010-0000-0000-00001B000000}" name="Evidence_own">
      <calculatedColumnFormula>IF(OR(tblLines[[#This Row],[Own_due]]="",tblLines[[#This Row],[sg_amount]]&lt;=0,tblLines[[#This Row],[Flag_db]]=1,tblLines[[#This Row],[Cap]]&lt;=0),"impossible",IF(ISNUMBER(tblLines[[#This Row],[fund_received_date]]),IF(tblLines[[#This Row],[fund_received_date]]&lt;tblLines[[#This Row],[Earliest_prepay]],"impossible",IF(tblLines[[#This Row],[fund_received_date]]&lt;=Summary!$B$2,IF(OR(tblLines[[#This Row],[fund_received_date]]&lt;tblLines[[#This Row],[payment_date]],tblLines[[#This Row],[fund_received_date]]&lt;=tblLines[[#This Row],[Own_due]]),"confirmed",IF(tblLines[[#This Row],[fund_received_date]]&gt;tblLines[[#This Row],[Own_due]],"impossible","possible")),IF(tblLines[[#This Row],[fund_received_date]]&lt;=tblLines[[#This Row],[Own_due]],"possible","impossible"))),IF(AND(ISNUMBER(tblLines[[#This Row],[remitted_date]]),tblLines[[#This Row],[remitted_date]]&gt;tblLines[[#This Row],[Own_due]]),"impossible","possible")))</calculatedColumnFormula>
    </tableColumn>
    <tableColumn id="28" xr3:uid="{00000000-0010-0000-0000-00001C000000}" name="Confirmed_latest">
      <calculatedColumnFormula>IF(OR(tblLines[[#This Row],[Flag_db]]=1,tblLines[[#This Row],[Own_due]]=""),"",_xlfn.MAXIFS(tblLines[Own_due],tblLines[employee_id],tblLines[[#This Row],[employee_id]],tblLines[payment_date],"&lt;"&amp;tblLines[[#This Row],[payment_date]],tblLines[Evidence_own],"confirmed"))</calculatedColumnFormula>
    </tableColumn>
    <tableColumn id="29" xr3:uid="{00000000-0010-0000-0000-00001D000000}" name="Possible_latest">
      <calculatedColumnFormula>IF(OR(tblLines[[#This Row],[Flag_db]]=1,tblLines[[#This Row],[Own_due]]=""),"",_xlfn.MAXIFS(tblLines[Own_due],tblLines[employee_id],tblLines[[#This Row],[employee_id]],tblLines[payment_date],"&lt;"&amp;tblLines[[#This Row],[payment_date]],tblLines[Evidence_own],"&lt;&gt;impossible"))</calculatedColumnFormula>
    </tableColumn>
    <tableColumn id="30" xr3:uid="{00000000-0010-0000-0000-00001E000000}" name="Final_due">
      <calculatedColumnFormula>IF(tblLines[[#This Row],[Own_due]]="","",IF(AND(ISNUMBER(tblLines[[#This Row],[Confirmed_latest]]),tblLines[[#This Row],[Confirmed_latest]]&gt;tblLines[[#This Row],[Own_due]]),tblLines[[#This Row],[Confirmed_latest]],tblLines[[#This Row],[Own_due]]))</calculatedColumnFormula>
    </tableColumn>
    <tableColumn id="31" xr3:uid="{00000000-0010-0000-0000-00001F000000}" name="Pathway">
      <calculatedColumnFormula>IF(tblLines[[#This Row],[Own_due]]="",tblLines[[#This Row],[Own_pathway]],IF(AND(ISNUMBER(tblLines[[#This Row],[Confirmed_latest]]),tblLines[[#This Row],[Confirmed_latest]]&gt;tblLines[[#This Row],[Own_due]]),"ITEM4_ALIGNED",tblLines[[#This Row],[Own_pathway]]))</calculatedColumnFormula>
    </tableColumn>
    <tableColumn id="32" xr3:uid="{00000000-0010-0000-0000-000020000000}" name="Possible_item4">
      <calculatedColumnFormula>IF(tblLines[[#This Row],[Final_due]]="","",IF(AND(ISNUMBER(tblLines[[#This Row],[Possible_latest]]),tblLines[[#This Row],[Possible_latest]]&gt;tblLines[[#This Row],[Final_due]]),tblLines[[#This Row],[Possible_latest]],""))</calculatedColumnFormula>
    </tableColumn>
    <tableColumn id="33" xr3:uid="{00000000-0010-0000-0000-000021000000}" name="Past_horizon">
      <calculatedColumnFormula>IF(tblLines[[#This Row],[Final_due]]="","",IF((tblLines[[#This Row],[Final_due]]&gt;Summary!$B$6),1,0))</calculatedColumnFormula>
    </tableColumn>
    <tableColumn id="34" xr3:uid="{00000000-0010-0000-0000-000022000000}" name="Branch">
      <calculatedColumnFormula>IF(tblLines[[#This Row],[Flag_db]]=1,"DB",IF(tblLines[[#This Row],[Final_due]]="","",IF(tblLines[[#This Row],[sg_amount]]&lt;=0,"NIL",IF(tblLines[[#This Row],[Settled]]&lt;&gt;"",IF(tblLines[[#This Row],[Settled]]&lt;tblLines[[#This Row],[payment_date]],IF(tblLines[[#This Row],[Settled]]&gt;=tblLines[[#This Row],[Earliest_prepay]],IF((tblLines[[#This Row],[Receipt_credit]]&gt;=tblLines[[#This Row],[sg_amount]]),"A1",IF(tblLines[[#This Row],[Final_due]]&gt;=Summary!$B$2,"A2",IF(OR((tblLines[[#This Row],[Final_due]]&gt;Summary!$B$6),AND((tblLines[[#This Row],[Possible_item4]]&lt;&gt;""),Summary!$B$2&lt;=tblLines[[#This Row],[Possible_item4]])),"A3","A4"))),IF(tblLines[[#This Row],[Final_due]]&gt;=Summary!$B$2,"S1",IF(OR((tblLines[[#This Row],[Final_due]]&gt;Summary!$B$6),AND((tblLines[[#This Row],[Possible_item4]]&lt;&gt;""),Summary!$B$2&lt;=tblLines[[#This Row],[Possible_item4]])),"S2","S3"))),IF(AND((tblLines[[#This Row],[Possible_item4]]&lt;&gt;""),tblLines[[#This Row],[Final_due]]&lt;tblLines[[#This Row],[Settled]],tblLines[[#This Row],[Settled]]&lt;=tblLines[[#This Row],[Possible_item4]]),IF((tblLines[[#This Row],[Receipt_credit]]&gt;=tblLines[[#This Row],[sg_amount]]),"B1",IF(Summary!$B$2&lt;=tblLines[[#This Row],[Possible_item4]],"B2","B3")),IF(AND((tblLines[[#This Row],[Final_due]]&gt;Summary!$B$6),tblLines[[#This Row],[Settled]]&gt;tblLines[[#This Row],[Final_due]]),IF((tblLines[[#This Row],[Receipt_credit]]&gt;=tblLines[[#This Row],[sg_amount]]),"C1","C2"),IF(tblLines[[#This Row],[Settled]]&lt;=tblLines[[#This Row],[Final_due]],IF((tblLines[[#This Row],[Receipt_credit]]&gt;=tblLines[[#This Row],[sg_amount]]),"D1",IF(OR((tblLines[[#This Row],[Final_due]]&gt;Summary!$B$6),AND((tblLines[[#This Row],[Possible_item4]]&lt;&gt;""),Summary!$B$2&lt;=tblLines[[#This Row],[Possible_item4]])),"D2",IF(tblLines[[#This Row],[Final_due]]&lt;Summary!$B$2,"D3","D4"))),"E")))),IF(AND(tblLines[[#This Row],[Remit]]&lt;&gt;"",tblLines[[#This Row],[sg_amount]]-tblLines[[#This Row],[Credit]]&lt;=0),IF(AND((tblLines[[#This Row],[Possible_item4]]&lt;&gt;""),tblLines[[#This Row],[Final_due]]&lt;tblLines[[#This Row],[Remit]],tblLines[[#This Row],[Remit]]&lt;=tblLines[[#This Row],[Possible_item4]]),"R1",IF(AND((tblLines[[#This Row],[Final_due]]&gt;Summary!$B$6),tblLines[[#This Row],[Remit]]&gt;tblLines[[#This Row],[Final_due]]),"R2",IF(tblLines[[#This Row],[Remit]]&lt;=tblLines[[#This Row],[Final_due]],"R3","R4"))),IF(tblLines[[#This Row],[Final_due]]&lt;Summary!$B$2,IF(OR((tblLines[[#This Row],[Final_due]]&gt;Summary!$B$6),AND((tblLines[[#This Row],[Possible_item4]]&lt;&gt;""),Summary!$B$2&lt;=tblLines[[#This Row],[Possible_item4]])),"N1","N2"),"N3"))))))</calculatedColumnFormula>
    </tableColumn>
    <tableColumn id="35" xr3:uid="{00000000-0010-0000-0000-000023000000}" name="Verdict">
      <calculatedColumnFormula>IF(tblLines[[#This Row],[Branch]]="","",INDEX(tblCodes[verdict],MATCH(tblLines[[#This Row],[Branch]],tblCodes[code],0)))</calculatedColumnFormula>
    </tableColumn>
    <tableColumn id="36" xr3:uid="{00000000-0010-0000-0000-000024000000}" name="Unassessable_between">
      <calculatedColumnFormula>IF(tblLines[[#This Row],[Branch]]="","",T(INDEX(tblCodes[unassessable],MATCH(tblLines[[#This Row],[Branch]],tblCodes[code],0))))</calculatedColumnFormula>
    </tableColumn>
    <tableColumn id="37" xr3:uid="{00000000-0010-0000-0000-000025000000}" name="Exposed">
      <calculatedColumnFormula>IF(tblLines[[#This Row],[Branch]]="",0,INDEX(tblCodes[exposed],MATCH(tblLines[[#This Row],[Branch]],tblCodes[code],0)))</calculatedColumnFormula>
    </tableColumn>
    <tableColumn id="38" xr3:uid="{00000000-0010-0000-0000-000026000000}" name="Stale_prepay">
      <calculatedColumnFormula>IF(tblLines[[#This Row],[Branch]]="",0,INDEX(tblCodes[stale],MATCH(tblLines[[#This Row],[Branch]],tblCodes[code],0)))</calculatedColumnFormula>
    </tableColumn>
    <tableColumn id="39" xr3:uid="{00000000-0010-0000-0000-000027000000}" name="OTRC">
      <calculatedColumnFormula>IF(tblLines[[#This Row],[Branch]]="",0,INDEX(tblCodes[otrc],MATCH(tblLines[[#This Row],[Branch]],tblCodes[code],0))*tblLines[[#This Row],[Receipt_credit]])</calculatedColumnFormula>
    </tableColumn>
    <tableColumn id="40" xr3:uid="{00000000-0010-0000-0000-000028000000}" name="Base_shortfall">
      <calculatedColumnFormula>IF((tblLines[[#This Row],[Exposed]]=1),MAX(ROUND(tblLines[[#This Row],[sg_amount]],2)-tblLines[[#This Row],[OTRC]],0),"")</calculatedColumnFormula>
    </tableColumn>
    <tableColumn id="41" xr3:uid="{00000000-0010-0000-0000-000029000000}" name="Offset_s18D">
      <calculatedColumnFormula>IF((tblLines[[#This Row],[Exposed]]=1),IF(AND(tblLines[[#This Row],[Settled]]&lt;&gt;"",tblLines[[#This Row],[Stale_prepay]]=0,tblLines[[#This Row],[Settled]]&gt;tblLines[[#This Row],[Final_due]],OR(Summary!$B$3="",tblLines[[#This Row],[Settled]]&lt;Summary!$B$3)),MIN(tblLines[[#This Row],[Receipt_credit]],tblLines[[#This Row],[Base_shortfall]]),0),"")</calculatedColumnFormula>
    </tableColumn>
    <tableColumn id="42" xr3:uid="{00000000-0010-0000-0000-00002A000000}" name="Final_shortfall">
      <calculatedColumnFormula>IF((tblLines[[#This Row],[Exposed]]=1),MAX(tblLines[[#This Row],[Base_shortfall]]-tblLines[[#This Row],[Offset_s18D]],0),"")</calculatedColumnFormula>
    </tableColumn>
    <tableColumn id="43" xr3:uid="{00000000-0010-0000-0000-00002B000000}" name="Lateness_basis">
      <calculatedColumnFormula>IF((tblLines[[#This Row],[Exposed]]=1),IF(AND(tblLines[[#This Row],[Settled]]&lt;&gt;"",tblLines[[#This Row],[Stale_prepay]]=0,(tblLines[[#This Row],[Receipt_credit]]&gt;=tblLines[[#This Row],[sg_amount]])),"fund receipt",IF(AND(tblLines[[#This Row],[Settled]]&lt;&gt;"",tblLines[[#This Row],[Stale_prepay]]=0),"as-at date (shortfall remains after part receipt)",IF(AND(OR(tblLines[[#This Row],[Settled]]&lt;&gt;"",tblLines[[#This Row],[Remit]]&lt;&gt;""),tblLines[[#This Row],[Stale_prepay]]=0),"as-at date (no fund receipt recorded)","as-at date (nothing applied to this payday)"))),"")</calculatedColumnFormula>
    </tableColumn>
    <tableColumn id="44" xr3:uid="{00000000-0010-0000-0000-00002C000000}" name="Outstanding_to">
      <calculatedColumnFormula>IF((tblLines[[#This Row],[Exposed]]=1),IF(AND(tblLines[[#This Row],[Settled]]&lt;&gt;"",tblLines[[#This Row],[Stale_prepay]]=0,(tblLines[[#This Row],[Receipt_credit]]&gt;=tblLines[[#This Row],[sg_amount]])),tblLines[[#This Row],[Settled]],Summary!$B$2),"")</calculatedColumnFormula>
    </tableColumn>
    <tableColumn id="45" xr3:uid="{00000000-0010-0000-0000-00002D000000}" name="NEC_end">
      <calculatedColumnFormula>IF((tblLines[[#This Row],[Exposed]]=1),MIN(IF(Summary!$B$3="",DATE(2030,12,31),Summary!$B$3-1),IF(AND(tblLines[[#This Row],[Settled]]&lt;&gt;"",tblLines[[#This Row],[Stale_prepay]]=0,(tblLines[[#This Row],[Receipt_credit]]&gt;=tblLines[[#This Row],[sg_amount]]),tblLines[[#This Row],[Final_shortfall]]=0),tblLines[[#This Row],[Settled]],Summary!$B$2)),"")</calculatedColumnFormula>
    </tableColumn>
    <tableColumn id="46" xr3:uid="{00000000-0010-0000-0000-00002E000000}" name="Days_late">
      <calculatedColumnFormula>IF((tblLines[[#This Row],[Exposed]]=1),IF(tblLines[[#This Row],[Past_horizon]]=1,"",MAX(tblLines[[#This Row],[Outstanding_to]]-tblLines[[#This Row],[Final_due]],0)),"")</calculatedColumnFormula>
    </tableColumn>
    <tableColumn id="47" xr3:uid="{00000000-0010-0000-0000-00002F000000}" name="NEC">
      <calculatedColumnFormula>IF((tblLines[[#This Row],[Exposed]]=1),IF(tblLines[[#This Row],[NEC_end]]&gt;tblLines[[#This Row],[Final_due]],tblLines[[#This Row],[Base_shortfall]]*(EXP(SUMPRODUCT((((((tblLines[[#This Row],[NEC_end]]+tblGic[to]-ABS(tblLines[[#This Row],[NEC_end]]-tblGic[to]))/2)-(((tblLines[[#This Row],[Final_due]]+1)+tblGic[from]+ABS((tblLines[[#This Row],[Final_due]]+1)-tblGic[from]))/2)+1)&gt;0)*(((tblLines[[#This Row],[NEC_end]]+tblGic[to]-ABS(tblLines[[#This Row],[NEC_end]]-tblGic[to]))/2)-(((tblLines[[#This Row],[Final_due]]+1)+tblGic[from]+ABS((tblLines[[#This Row],[Final_due]]+1)-tblGic[from]))/2)+1))*LN(1+tblGic[annual_pct]/100/tblGic[divisor])))-1),0),"")</calculatedColumnFormula>
    </tableColumn>
    <tableColumn id="48" xr3:uid="{00000000-0010-0000-0000-000030000000}" name="GIC_estimated">
      <calculatedColumnFormula>IF((tblLines[[#This Row],[Exposed]]=1),IF(tblLines[[#This Row],[NEC_end]]&gt;Summary!$B$7,1,0),"")</calculatedColumnFormula>
    </tableColumn>
    <tableColumn id="49" xr3:uid="{00000000-0010-0000-0000-000031000000}" name="Shortfall_r">
      <calculatedColumnFormula>IF((tblLines[[#This Row],[Exposed]]=1),ROUND(tblLines[[#This Row],[Final_shortfall]],2),"")</calculatedColumnFormula>
    </tableColumn>
    <tableColumn id="50" xr3:uid="{00000000-0010-0000-0000-000032000000}" name="NEC_r">
      <calculatedColumnFormula>IF((tblLines[[#This Row],[Exposed]]=1),ROUND(tblLines[[#This Row],[NEC]],2),"")</calculatedColumnFormula>
    </tableColumn>
    <tableColumn id="51" xr3:uid="{00000000-0010-0000-0000-000033000000}" name="Uplift_best">
      <calculatedColumnFormula>IF((tblLines[[#This Row],[Exposed]]=1),0,"")</calculatedColumnFormula>
    </tableColumn>
    <tableColumn id="52" xr3:uid="{00000000-0010-0000-0000-000034000000}" name="Uplift_worst">
      <calculatedColumnFormula>IF((tblLines[[#This Row],[Exposed]]=1),ROUND(0.6*(tblLines[[#This Row],[Final_shortfall]]+tblLines[[#This Row],[NEC]]),2),"")</calculatedColumnFormula>
    </tableColumn>
    <tableColumn id="53" xr3:uid="{00000000-0010-0000-0000-000035000000}" name="SGC_low">
      <calculatedColumnFormula>IF((tblLines[[#This Row],[Exposed]]=1),tblLines[[#This Row],[Shortfall_r]]+tblLines[[#This Row],[NEC_r]]+tblLines[[#This Row],[Uplift_best]],"")</calculatedColumnFormula>
    </tableColumn>
    <tableColumn id="54" xr3:uid="{00000000-0010-0000-0000-000036000000}" name="SGC_high">
      <calculatedColumnFormula>IF((tblLines[[#This Row],[Exposed]]=1),tblLines[[#This Row],[Shortfall_r]]+tblLines[[#This Row],[NEC_r]]+tblLines[[#This Row],[Uplift_worst]],"")</calculatedColumnFormula>
    </tableColumn>
    <tableColumn id="55" xr3:uid="{00000000-0010-0000-0000-000037000000}" name="Transition_row">
      <calculatedColumnFormula>IF(AND(tblLines[[#This Row],[Flag_db]]&lt;&gt;1,ISNUMBER(tblLines[[#This Row],[sg_amount]]),tblLines[[#This Row],[sg_amount]]&gt;0,tblLines[[#This Row],[Cap]]&gt;0,OR(ISNUMBER(tblLines[[#This Row],[fund_received_date]]),ISNUMBER(tblLines[[#This Row],[remitted_date]])),IF(ISNUMBER(tblLines[[#This Row],[fund_received_date]]),tblLines[[#This Row],[fund_received_date]],tblLines[[#This Row],[remitted_date]])&lt;=DATE(2026,7,28)),1,0)</calculatedColumnFormula>
    </tableColumn>
    <tableColumn id="56" xr3:uid="{00000000-0010-0000-0000-000038000000}" name="Receipt_established">
      <calculatedColumnFormula>IF(tblLines[[#This Row],[Settled]]&lt;&gt;"",1,0)</calculatedColumnFormula>
    </tableColumn>
    <tableColumn id="57" xr3:uid="{00000000-0010-0000-0000-000039000000}" name="Assessable">
      <calculatedColumnFormula>IF(AND(tblLines[[#This Row],[Verdict]]&lt;&gt;"",tblLines[[#This Row],[Verdict]]&lt;&gt;"SKIPPED",ISNUMBER(tblLines[[#This Row],[sg_amount]]),tblLines[[#This Row],[sg_amount]]&gt;0),1,0)</calculatedColumnFormula>
    </tableColumn>
    <tableColumn id="58" xr3:uid="{00000000-0010-0000-0000-00003A000000}" name="Duplicate">
      <calculatedColumnFormula>IF(COUNTIFS(tblLines[employee_id],tblLines[[#This Row],[employee_id]],tblLines[payment_date],tblLines[[#This Row],[payment_date]],tblLines[sg_amount],tblLines[[#This Row],[sg_amount]],tblLines[remitted_date],tblLines[[#This Row],[remitted_date]]&amp;"",tblLines[fund_received_date],tblLines[[#This Row],[fund_received_date]]&amp;"")&gt;1,1,0)</calculatedColumnFormula>
    </tableColumn>
  </tableColumns>
  <tableStyleInfo name="TableStyleLight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blCodes" displayName="tblCodes" ref="A1:F27">
  <tableColumns count="6">
    <tableColumn id="1" xr3:uid="{00000000-0010-0000-0100-000001000000}" name="code"/>
    <tableColumn id="2" xr3:uid="{00000000-0010-0000-0100-000002000000}" name="verdict"/>
    <tableColumn id="3" xr3:uid="{00000000-0010-0000-0100-000003000000}" name="unassessable"/>
    <tableColumn id="4" xr3:uid="{00000000-0010-0000-0100-000004000000}" name="otrc"/>
    <tableColumn id="5" xr3:uid="{00000000-0010-0000-0100-000005000000}" name="stale"/>
    <tableColumn id="6" xr3:uid="{00000000-0010-0000-0100-000006000000}" name="exposed"/>
  </tableColumns>
  <tableStyleInfo name="TableStyleLight1"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tblHolidays" displayName="tblHolidays" ref="A1:C40">
  <tableColumns count="3">
    <tableColumn id="1" xr3:uid="{00000000-0010-0000-0200-000001000000}" name="date"/>
    <tableColumn id="2" xr3:uid="{00000000-0010-0000-0200-000002000000}" name="name"/>
    <tableColumn id="3" xr3:uid="{00000000-0010-0000-0200-000003000000}" name="jurisdictions"/>
  </tableColumns>
  <tableStyleInfo name="TableStyleLight1"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tblGic" displayName="tblGic" ref="A1:F8">
  <tableColumns count="6">
    <tableColumn id="1" xr3:uid="{00000000-0010-0000-0300-000001000000}" name="from"/>
    <tableColumn id="2" xr3:uid="{00000000-0010-0000-0300-000002000000}" name="to"/>
    <tableColumn id="3" xr3:uid="{00000000-0010-0000-0300-000003000000}" name="annual_pct"/>
    <tableColumn id="4" xr3:uid="{00000000-0010-0000-0300-000004000000}" name="divisor"/>
    <tableColumn id="5" xr3:uid="{00000000-0010-0000-0300-000005000000}" name="basis"/>
    <tableColumn id="6" xr3:uid="{00000000-0010-0000-0300-000006000000}" name="seen"/>
  </tableColumns>
  <tableStyleInfo name="TableStyleLight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13"/>
  <sheetViews>
    <sheetView tabSelected="1" workbookViewId="0"/>
  </sheetViews>
  <sheetFormatPr defaultRowHeight="15" x14ac:dyDescent="0.25"/>
  <cols>
    <col min="1" max="1" width="110" customWidth="1"/>
  </cols>
  <sheetData>
    <row r="1" spans="1:1" ht="18.75" x14ac:dyDescent="0.3">
      <c r="A1" s="1" t="s">
        <v>0</v>
      </c>
    </row>
    <row r="3" spans="1:1" ht="45" x14ac:dyDescent="0.25">
      <c r="A3" s="2" t="s">
        <v>1</v>
      </c>
    </row>
    <row r="4" spans="1:1" ht="45" x14ac:dyDescent="0.25">
      <c r="A4" s="2" t="s">
        <v>2</v>
      </c>
    </row>
    <row r="5" spans="1:1" ht="45" x14ac:dyDescent="0.25">
      <c r="A5" s="2" t="s">
        <v>3</v>
      </c>
    </row>
    <row r="6" spans="1:1" ht="45" x14ac:dyDescent="0.25">
      <c r="A6" s="2" t="s">
        <v>4</v>
      </c>
    </row>
    <row r="7" spans="1:1" ht="30" x14ac:dyDescent="0.25">
      <c r="A7" s="2" t="s">
        <v>5</v>
      </c>
    </row>
    <row r="8" spans="1:1" ht="30" x14ac:dyDescent="0.25">
      <c r="A8" s="2" t="s">
        <v>6</v>
      </c>
    </row>
    <row r="10" spans="1:1" x14ac:dyDescent="0.25">
      <c r="A10" s="3" t="s">
        <v>7</v>
      </c>
    </row>
    <row r="11" spans="1:1" ht="18.75" x14ac:dyDescent="0.3">
      <c r="A11" s="4" t="str">
        <f>'Review Checks'!B13</f>
        <v>REVIEW</v>
      </c>
    </row>
    <row r="13" spans="1:1" x14ac:dyDescent="0.25">
      <c r="A13" t="s">
        <v>8</v>
      </c>
    </row>
  </sheetData>
  <conditionalFormatting sqref="A11">
    <cfRule type="cellIs" dxfId="8" priority="1" operator="equal">
      <formula>"BLOCKED"</formula>
    </cfRule>
    <cfRule type="cellIs" dxfId="7" priority="2" operator="equal">
      <formula>"REVIEW"</formula>
    </cfRule>
    <cfRule type="cellIs" dxfId="6" priority="3" operator="equal">
      <formula>"PASS"</formula>
    </cfRule>
  </conditionalFormatting>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F11"/>
  <sheetViews>
    <sheetView workbookViewId="0">
      <pane xSplit="1" ySplit="1" topLeftCell="B2" activePane="bottomRight" state="frozen"/>
      <selection pane="topRight"/>
      <selection pane="bottomLeft"/>
      <selection pane="bottomRight"/>
    </sheetView>
  </sheetViews>
  <sheetFormatPr defaultRowHeight="15" x14ac:dyDescent="0.25"/>
  <cols>
    <col min="1" max="14" width="13" customWidth="1"/>
    <col min="15" max="15" width="30" customWidth="1"/>
    <col min="16" max="35" width="13" customWidth="1"/>
    <col min="36" max="36" width="22" customWidth="1"/>
    <col min="37" max="42" width="13" customWidth="1"/>
    <col min="43" max="43" width="34" customWidth="1"/>
    <col min="44" max="58" width="13" customWidth="1"/>
  </cols>
  <sheetData>
    <row r="1" spans="1:58" x14ac:dyDescent="0.25">
      <c r="A1" s="5" t="s">
        <v>9</v>
      </c>
      <c r="B1" s="5" t="s">
        <v>10</v>
      </c>
      <c r="C1" s="5" t="s">
        <v>11</v>
      </c>
      <c r="D1" s="5" t="s">
        <v>12</v>
      </c>
      <c r="E1" s="5" t="s">
        <v>13</v>
      </c>
      <c r="F1" s="5" t="s">
        <v>14</v>
      </c>
      <c r="G1" s="5" t="s">
        <v>15</v>
      </c>
      <c r="H1" s="5" t="s">
        <v>16</v>
      </c>
      <c r="I1" s="5" t="s">
        <v>17</v>
      </c>
      <c r="J1" s="5" t="s">
        <v>18</v>
      </c>
      <c r="K1" s="5" t="s">
        <v>19</v>
      </c>
      <c r="L1" s="5" t="s">
        <v>20</v>
      </c>
      <c r="M1" s="5" t="s">
        <v>21</v>
      </c>
      <c r="N1" s="5" t="s">
        <v>22</v>
      </c>
      <c r="O1" s="5" t="s">
        <v>23</v>
      </c>
      <c r="P1" s="5" t="s">
        <v>24</v>
      </c>
      <c r="Q1" s="5" t="s">
        <v>25</v>
      </c>
      <c r="R1" s="5" t="s">
        <v>26</v>
      </c>
      <c r="S1" s="5" t="s">
        <v>27</v>
      </c>
      <c r="T1" s="5" t="s">
        <v>28</v>
      </c>
      <c r="U1" s="5" t="s">
        <v>29</v>
      </c>
      <c r="V1" s="5" t="s">
        <v>30</v>
      </c>
      <c r="W1" s="5" t="s">
        <v>31</v>
      </c>
      <c r="X1" s="5" t="s">
        <v>32</v>
      </c>
      <c r="Y1" s="5" t="s">
        <v>33</v>
      </c>
      <c r="Z1" s="5" t="s">
        <v>34</v>
      </c>
      <c r="AA1" s="5" t="s">
        <v>35</v>
      </c>
      <c r="AB1" s="5" t="s">
        <v>36</v>
      </c>
      <c r="AC1" s="5" t="s">
        <v>37</v>
      </c>
      <c r="AD1" s="5" t="s">
        <v>38</v>
      </c>
      <c r="AE1" s="5" t="s">
        <v>39</v>
      </c>
      <c r="AF1" s="5" t="s">
        <v>40</v>
      </c>
      <c r="AG1" s="5" t="s">
        <v>41</v>
      </c>
      <c r="AH1" s="5" t="s">
        <v>42</v>
      </c>
      <c r="AI1" s="5" t="s">
        <v>43</v>
      </c>
      <c r="AJ1" s="5" t="s">
        <v>44</v>
      </c>
      <c r="AK1" s="5" t="s">
        <v>45</v>
      </c>
      <c r="AL1" s="5" t="s">
        <v>46</v>
      </c>
      <c r="AM1" s="5" t="s">
        <v>47</v>
      </c>
      <c r="AN1" s="5" t="s">
        <v>48</v>
      </c>
      <c r="AO1" s="5" t="s">
        <v>49</v>
      </c>
      <c r="AP1" s="5" t="s">
        <v>50</v>
      </c>
      <c r="AQ1" s="5" t="s">
        <v>51</v>
      </c>
      <c r="AR1" s="5" t="s">
        <v>52</v>
      </c>
      <c r="AS1" s="5" t="s">
        <v>53</v>
      </c>
      <c r="AT1" s="5" t="s">
        <v>54</v>
      </c>
      <c r="AU1" s="5" t="s">
        <v>55</v>
      </c>
      <c r="AV1" s="5" t="s">
        <v>56</v>
      </c>
      <c r="AW1" s="5" t="s">
        <v>57</v>
      </c>
      <c r="AX1" s="5" t="s">
        <v>58</v>
      </c>
      <c r="AY1" s="5" t="s">
        <v>59</v>
      </c>
      <c r="AZ1" s="5" t="s">
        <v>60</v>
      </c>
      <c r="BA1" s="5" t="s">
        <v>61</v>
      </c>
      <c r="BB1" s="5" t="s">
        <v>62</v>
      </c>
      <c r="BC1" s="5" t="s">
        <v>63</v>
      </c>
      <c r="BD1" s="5" t="s">
        <v>64</v>
      </c>
      <c r="BE1" s="5" t="s">
        <v>65</v>
      </c>
      <c r="BF1" s="5" t="s">
        <v>66</v>
      </c>
    </row>
    <row r="2" spans="1:58" x14ac:dyDescent="0.25">
      <c r="A2" s="6" t="s">
        <v>67</v>
      </c>
      <c r="B2" s="7">
        <v>46212</v>
      </c>
      <c r="C2" s="8">
        <v>612</v>
      </c>
      <c r="D2" s="7">
        <v>46217</v>
      </c>
      <c r="E2" s="8"/>
      <c r="F2" s="8"/>
      <c r="G2" s="7">
        <v>46219</v>
      </c>
      <c r="H2" s="6" t="s">
        <v>68</v>
      </c>
      <c r="I2" s="6" t="s">
        <v>68</v>
      </c>
      <c r="J2" s="7"/>
      <c r="K2" s="6" t="s">
        <v>68</v>
      </c>
      <c r="L2" s="9">
        <f>IF(OR(LOWER(TRIM(tblLines[[#This Row],[defined_benefit]]&amp;""))={"1","t","true","y","yes"}),1,IF(OR(LOWER(TRIM(tblLines[[#This Row],[defined_benefit]]&amp;""))={"","0","f","false","n","no"}),0,""))</f>
        <v>0</v>
      </c>
      <c r="M2" s="9">
        <f>IF(OR(LOWER(TRIM(tblLines[[#This Row],[out_of_cycle]]&amp;""))={"1","t","true","y","yes"}),1,IF(OR(LOWER(TRIM(tblLines[[#This Row],[out_of_cycle]]&amp;""))={"","0","f","false","n","no"}),0,""))</f>
        <v>0</v>
      </c>
      <c r="N2" s="9">
        <f>IF(OR(LOWER(TRIM(tblLines[[#This Row],[first_contribution_to_fund]]&amp;""))={"1","t","true","y","yes"}),1,IF(OR(LOWER(TRIM(tblLines[[#This Row],[first_contribution_to_fund]]&amp;""))={"","0","f","false","n","no"}),0,""))</f>
        <v>0</v>
      </c>
      <c r="O2" s="9" t="str">
        <f>TRIM(IF(OR(AND(tblLines[[#This Row],[payment_date]]&lt;&gt;"",NOT(ISNUMBER(tblLines[[#This Row],[payment_date]]))),AND(tblLines[[#This Row],[remitted_date]]&lt;&gt;"",NOT(ISNUMBER(tblLines[[#This Row],[remitted_date]]))),AND(tblLines[[#This Row],[fund_received_date]]&lt;&gt;"",NOT(ISNUMBER(tblLines[[#This Row],[fund_received_date]]))),AND(tblLines[[#This Row],[next_standard_payday]]&lt;&gt;"",NOT(ISNUMBER(tblLines[[#This Row],[next_standard_payday]])))),"date ","")&amp;IF(NOT(ISNUMBER(tblLines[[#This Row],[payment_date]])),"payment_date ","")&amp;IF(AND(ISNUMBER(tblLines[[#This Row],[payment_date]]),tblLines[[#This Row],[payment_date]]&lt;DATE(2026,7,1)),"pre-1-Jul-2026 ","")&amp;IF(OR(AND(tblLines[[#This Row],[sg_amount]]&lt;&gt;"",OR(NOT(ISNUMBER(tblLines[[#This Row],[sg_amount]])),tblLines[[#This Row],[sg_amount]]&lt;0)),AND(tblLines[[#This Row],[remitted_amount]]&lt;&gt;"",OR(NOT(ISNUMBER(tblLines[[#This Row],[remitted_amount]])),tblLines[[#This Row],[remitted_amount]]&lt;0)),AND(tblLines[[#This Row],[matched_amount]]&lt;&gt;"",OR(NOT(ISNUMBER(tblLines[[#This Row],[matched_amount]])),tblLines[[#This Row],[matched_amount]]&lt;0))),"amount ","")&amp;IF(NOT(ISNUMBER(tblLines[[#This Row],[sg_amount]])),"sg_amount ","")&amp;IF(OR(tblLines[[#This Row],[Flag_ftf]]="",tblLines[[#This Row],[Flag_ooc]]="",tblLines[[#This Row],[Flag_db]]=""),"yes/no ","")&amp;IF(AND(ISNUMBER(tblLines[[#This Row],[remitted_amount]]),ISNUMBER(tblLines[[#This Row],[sg_amount]]),tblLines[[#This Row],[remitted_amount]]&gt;tblLines[[#This Row],[sg_amount]]),"remitted_amount&gt;sg ","")&amp;IF(AND(ISNUMBER(tblLines[[#This Row],[remitted_amount]]),NOT(ISNUMBER(tblLines[[#This Row],[remitted_date]]))),"remitted_amount-needs-date ","")&amp;IF(AND(ISNUMBER(tblLines[[#This Row],[matched_amount]]),ISNUMBER(tblLines[[#This Row],[sg_amount]]),tblLines[[#This Row],[matched_amount]]&gt;tblLines[[#This Row],[sg_amount]]),"matched_amount&gt;sg ","")&amp;IF(AND(ISNUMBER(tblLines[[#This Row],[matched_amount]]),ISNUMBER(tblLines[[#This Row],[remitted_amount]]),tblLines[[#This Row],[remitted_amount]]&gt;tblLines[[#This Row],[matched_amount]]),"remitted_amount&gt;matched ","")&amp;IF(AND(ISNUMBER(tblLines[[#This Row],[matched_amount]]),ISNUMBER(tblLines[[#This Row],[sg_amount]]),tblLines[[#This Row],[matched_amount]]&lt;tblLines[[#This Row],[sg_amount]],ISNUMBER(tblLines[[#This Row],[remitted_date]]),NOT(ISNUMBER(tblLines[[#This Row],[remitted_amount]]))),"partial-match-needs-remitted_amount ","")&amp;IF(AND(ISNUMBER(tblLines[[#This Row],[fund_received_date]]),ISNUMBER(tblLines[[#This Row],[remitted_date]]),tblLines[[#This Row],[fund_received_date]]&lt;tblLines[[#This Row],[remitted_date]]),"receipt-before-remittance ","")&amp;IF(AND(tblLines[[#This Row],[Flag_ooc]]=1,NOT(ISNUMBER(tblLines[[#This Row],[next_standard_payday]]))),"out_of_cycle-needs-next_standard_payday ","")&amp;IF(AND(tblLines[[#This Row],[Flag_ooc]]=1,ISNUMBER(tblLines[[#This Row],[next_standard_payday]]),ISNUMBER(tblLines[[#This Row],[payment_date]]),tblLines[[#This Row],[next_standard_payday]]&lt;=tblLines[[#This Row],[payment_date]]),"next_standard_payday-not-after-payday ",""))</f>
        <v/>
      </c>
      <c r="P2" s="9">
        <f>IF(OR(_xlfn.ISFORMULA(tblLines[[#This Row],[employee_id]]),_xlfn.ISFORMULA(tblLines[[#This Row],[payment_date]]),_xlfn.ISFORMULA(tblLines[[#This Row],[sg_amount]]),_xlfn.ISFORMULA(tblLines[[#This Row],[remitted_date]]),_xlfn.ISFORMULA(tblLines[[#This Row],[remitted_amount]]),_xlfn.ISFORMULA(tblLines[[#This Row],[matched_amount]]),_xlfn.ISFORMULA(tblLines[[#This Row],[fund_received_date]]),_xlfn.ISFORMULA(tblLines[[#This Row],[first_contribution_to_fund]]),_xlfn.ISFORMULA(tblLines[[#This Row],[out_of_cycle]]),_xlfn.ISFORMULA(tblLines[[#This Row],[next_standard_payday]]),_xlfn.ISFORMULA(tblLines[[#This Row],[defined_benefit]])),1,0)</f>
        <v>0</v>
      </c>
      <c r="Q2" s="10">
        <f>IF(ISNUMBER(tblLines[[#This Row],[matched_amount]]),tblLines[[#This Row],[matched_amount]],IF(ISNUMBER(tblLines[[#This Row],[remitted_amount]]),tblLines[[#This Row],[remitted_amount]],tblLines[[#This Row],[sg_amount]]))</f>
        <v>612</v>
      </c>
      <c r="R2" s="11" t="str">
        <f>IF(AND(tblLines[[#This Row],[Flag_ooc]]=1,ISNUMBER(tblLines[[#This Row],[next_standard_payday]])),WORKDAY.INTL(tblLines[[#This Row],[next_standard_payday]],7,1,tblHolidays[date]),"")</f>
        <v/>
      </c>
      <c r="S2" s="11" t="str">
        <f>IF(tblLines[[#This Row],[Flag_ftf]]=1,WORKDAY.INTL(tblLines[[#This Row],[payment_date]],20,1,tblHolidays[date]),"")</f>
        <v/>
      </c>
      <c r="T2" s="11">
        <f>IF(OR(tblLines[[#This Row],[Flag_db]]=1,NOT(ISNUMBER(tblLines[[#This Row],[payment_date]]))),"",IF(OR(tblLines[[#This Row],[Flag_ooc]]=1,tblLines[[#This Row],[Flag_ftf]]=1),MAX(tblLines[[#This Row],[Due_ooc]],tblLines[[#This Row],[Due_ftf]]),WORKDAY.INTL(tblLines[[#This Row],[payment_date]],7,1,tblHolidays[date])))</f>
        <v>46223</v>
      </c>
      <c r="U2" s="9" t="str">
        <f>IF(tblLines[[#This Row],[Flag_db]]=1,"SKIP_DB",IF(tblLines[[#This Row],[Flag_ooc]]=1,IF(AND(tblLines[[#This Row],[Flag_ftf]]=1,tblLines[[#This Row],[Due_ftf]]&gt;tblLines[[#This Row],[Due_ooc]]),"EXTENDED_20BD","OUT_OF_CYCLE"),IF(tblLines[[#This Row],[Flag_ftf]]=1,"EXTENDED_20BD","USUAL_7BD")))</f>
        <v>USUAL_7BD</v>
      </c>
      <c r="V2" s="11">
        <f>IF(ISNUMBER(tblLines[[#This Row],[payment_date]]),EDATE(tblLines[[#This Row],[payment_date]]-1,-12)+1,"")</f>
        <v>45847</v>
      </c>
      <c r="W2" s="11">
        <f>IF(AND(ISNUMBER(tblLines[[#This Row],[fund_received_date]]),tblLines[[#This Row],[fund_received_date]]&lt;=Summary!$B$2),tblLines[[#This Row],[fund_received_date]],"")</f>
        <v>46219</v>
      </c>
      <c r="X2" s="11">
        <f>IF(AND(ISNUMBER(tblLines[[#This Row],[remitted_date]]),tblLines[[#This Row],[remitted_date]]&lt;=Summary!$B$2),tblLines[[#This Row],[remitted_date]],"")</f>
        <v>46217</v>
      </c>
      <c r="Y2" s="10">
        <f>IF(tblLines[[#This Row],[Settled]]&lt;&gt;"",MIN(ROUND(tblLines[[#This Row],[Cap]],2),ROUND(tblLines[[#This Row],[sg_amount]],2)),0)</f>
        <v>612</v>
      </c>
      <c r="Z2" s="10">
        <f>IF(ISNUMBER(tblLines[[#This Row],[remitted_amount]]),IF(tblLines[[#This Row],[Remit]]&lt;&gt;"",MIN(ROUND(tblLines[[#This Row],[remitted_amount]],2),ROUND(tblLines[[#This Row],[sg_amount]],2)),0),IF(tblLines[[#This Row],[Remit]]&lt;&gt;"",ROUND(tblLines[[#This Row],[sg_amount]],2),0))</f>
        <v>612</v>
      </c>
      <c r="AA2" s="9" t="str">
        <f>IF(OR(tblLines[[#This Row],[Own_due]]="",tblLines[[#This Row],[sg_amount]]&lt;=0,tblLines[[#This Row],[Flag_db]]=1,tblLines[[#This Row],[Cap]]&lt;=0),"impossible",IF(ISNUMBER(tblLines[[#This Row],[fund_received_date]]),IF(tblLines[[#This Row],[fund_received_date]]&lt;tblLines[[#This Row],[Earliest_prepay]],"impossible",IF(tblLines[[#This Row],[fund_received_date]]&lt;=Summary!$B$2,IF(OR(tblLines[[#This Row],[fund_received_date]]&lt;tblLines[[#This Row],[payment_date]],tblLines[[#This Row],[fund_received_date]]&lt;=tblLines[[#This Row],[Own_due]]),"confirmed",IF(tblLines[[#This Row],[fund_received_date]]&gt;tblLines[[#This Row],[Own_due]],"impossible","possible")),IF(tblLines[[#This Row],[fund_received_date]]&lt;=tblLines[[#This Row],[Own_due]],"possible","impossible"))),IF(AND(ISNUMBER(tblLines[[#This Row],[remitted_date]]),tblLines[[#This Row],[remitted_date]]&gt;tblLines[[#This Row],[Own_due]]),"impossible","possible")))</f>
        <v>confirmed</v>
      </c>
      <c r="AB2" s="11">
        <f>IF(OR(tblLines[[#This Row],[Flag_db]]=1,tblLines[[#This Row],[Own_due]]=""),"",_xlfn.MAXIFS(tblLines[Own_due],tblLines[employee_id],tblLines[[#This Row],[employee_id]],tblLines[payment_date],"&lt;"&amp;tblLines[[#This Row],[payment_date]],tblLines[Evidence_own],"confirmed"))</f>
        <v>0</v>
      </c>
      <c r="AC2" s="11">
        <f>IF(OR(tblLines[[#This Row],[Flag_db]]=1,tblLines[[#This Row],[Own_due]]=""),"",_xlfn.MAXIFS(tblLines[Own_due],tblLines[employee_id],tblLines[[#This Row],[employee_id]],tblLines[payment_date],"&lt;"&amp;tblLines[[#This Row],[payment_date]],tblLines[Evidence_own],"&lt;&gt;impossible"))</f>
        <v>0</v>
      </c>
      <c r="AD2" s="11">
        <f>IF(tblLines[[#This Row],[Own_due]]="","",IF(AND(ISNUMBER(tblLines[[#This Row],[Confirmed_latest]]),tblLines[[#This Row],[Confirmed_latest]]&gt;tblLines[[#This Row],[Own_due]]),tblLines[[#This Row],[Confirmed_latest]],tblLines[[#This Row],[Own_due]]))</f>
        <v>46223</v>
      </c>
      <c r="AE2" s="9" t="str">
        <f>IF(tblLines[[#This Row],[Own_due]]="",tblLines[[#This Row],[Own_pathway]],IF(AND(ISNUMBER(tblLines[[#This Row],[Confirmed_latest]]),tblLines[[#This Row],[Confirmed_latest]]&gt;tblLines[[#This Row],[Own_due]]),"ITEM4_ALIGNED",tblLines[[#This Row],[Own_pathway]]))</f>
        <v>USUAL_7BD</v>
      </c>
      <c r="AF2" s="11" t="str">
        <f>IF(tblLines[[#This Row],[Final_due]]="","",IF(AND(ISNUMBER(tblLines[[#This Row],[Possible_latest]]),tblLines[[#This Row],[Possible_latest]]&gt;tblLines[[#This Row],[Final_due]]),tblLines[[#This Row],[Possible_latest]],""))</f>
        <v/>
      </c>
      <c r="AG2" s="9">
        <f>IF(tblLines[[#This Row],[Final_due]]="","",IF((tblLines[[#This Row],[Final_due]]&gt;Summary!$B$6),1,0))</f>
        <v>0</v>
      </c>
      <c r="AH2" s="9" t="str">
        <f>IF(tblLines[[#This Row],[Flag_db]]=1,"DB",IF(tblLines[[#This Row],[Final_due]]="","",IF(tblLines[[#This Row],[sg_amount]]&lt;=0,"NIL",IF(tblLines[[#This Row],[Settled]]&lt;&gt;"",IF(tblLines[[#This Row],[Settled]]&lt;tblLines[[#This Row],[payment_date]],IF(tblLines[[#This Row],[Settled]]&gt;=tblLines[[#This Row],[Earliest_prepay]],IF((tblLines[[#This Row],[Receipt_credit]]&gt;=tblLines[[#This Row],[sg_amount]]),"A1",IF(tblLines[[#This Row],[Final_due]]&gt;=Summary!$B$2,"A2",IF(OR((tblLines[[#This Row],[Final_due]]&gt;Summary!$B$6),AND((tblLines[[#This Row],[Possible_item4]]&lt;&gt;""),Summary!$B$2&lt;=tblLines[[#This Row],[Possible_item4]])),"A3","A4"))),IF(tblLines[[#This Row],[Final_due]]&gt;=Summary!$B$2,"S1",IF(OR((tblLines[[#This Row],[Final_due]]&gt;Summary!$B$6),AND((tblLines[[#This Row],[Possible_item4]]&lt;&gt;""),Summary!$B$2&lt;=tblLines[[#This Row],[Possible_item4]])),"S2","S3"))),IF(AND((tblLines[[#This Row],[Possible_item4]]&lt;&gt;""),tblLines[[#This Row],[Final_due]]&lt;tblLines[[#This Row],[Settled]],tblLines[[#This Row],[Settled]]&lt;=tblLines[[#This Row],[Possible_item4]]),IF((tblLines[[#This Row],[Receipt_credit]]&gt;=tblLines[[#This Row],[sg_amount]]),"B1",IF(Summary!$B$2&lt;=tblLines[[#This Row],[Possible_item4]],"B2","B3")),IF(AND((tblLines[[#This Row],[Final_due]]&gt;Summary!$B$6),tblLines[[#This Row],[Settled]]&gt;tblLines[[#This Row],[Final_due]]),IF((tblLines[[#This Row],[Receipt_credit]]&gt;=tblLines[[#This Row],[sg_amount]]),"C1","C2"),IF(tblLines[[#This Row],[Settled]]&lt;=tblLines[[#This Row],[Final_due]],IF((tblLines[[#This Row],[Receipt_credit]]&gt;=tblLines[[#This Row],[sg_amount]]),"D1",IF(OR((tblLines[[#This Row],[Final_due]]&gt;Summary!$B$6),AND((tblLines[[#This Row],[Possible_item4]]&lt;&gt;""),Summary!$B$2&lt;=tblLines[[#This Row],[Possible_item4]])),"D2",IF(tblLines[[#This Row],[Final_due]]&lt;Summary!$B$2,"D3","D4"))),"E")))),IF(AND(tblLines[[#This Row],[Remit]]&lt;&gt;"",tblLines[[#This Row],[sg_amount]]-tblLines[[#This Row],[Credit]]&lt;=0),IF(AND((tblLines[[#This Row],[Possible_item4]]&lt;&gt;""),tblLines[[#This Row],[Final_due]]&lt;tblLines[[#This Row],[Remit]],tblLines[[#This Row],[Remit]]&lt;=tblLines[[#This Row],[Possible_item4]]),"R1",IF(AND((tblLines[[#This Row],[Final_due]]&gt;Summary!$B$6),tblLines[[#This Row],[Remit]]&gt;tblLines[[#This Row],[Final_due]]),"R2",IF(tblLines[[#This Row],[Remit]]&lt;=tblLines[[#This Row],[Final_due]],"R3","R4"))),IF(tblLines[[#This Row],[Final_due]]&lt;Summary!$B$2,IF(OR((tblLines[[#This Row],[Final_due]]&gt;Summary!$B$6),AND((tblLines[[#This Row],[Possible_item4]]&lt;&gt;""),Summary!$B$2&lt;=tblLines[[#This Row],[Possible_item4]])),"N1","N2"),"N3"))))))</f>
        <v>D1</v>
      </c>
      <c r="AI2" s="9" t="str">
        <f>IF(tblLines[[#This Row],[Branch]]="","",INDEX(tblCodes[verdict],MATCH(tblLines[[#This Row],[Branch]],tblCodes[code],0)))</f>
        <v>ON_TIME</v>
      </c>
      <c r="AJ2" s="9" t="str">
        <f>IF(tblLines[[#This Row],[Branch]]="","",T(INDEX(tblCodes[unassessable],MATCH(tblLines[[#This Row],[Branch]],tblCodes[code],0))))</f>
        <v/>
      </c>
      <c r="AK2" s="9">
        <f>IF(tblLines[[#This Row],[Branch]]="",0,INDEX(tblCodes[exposed],MATCH(tblLines[[#This Row],[Branch]],tblCodes[code],0)))</f>
        <v>0</v>
      </c>
      <c r="AL2" s="9">
        <f>IF(tblLines[[#This Row],[Branch]]="",0,INDEX(tblCodes[stale],MATCH(tblLines[[#This Row],[Branch]],tblCodes[code],0)))</f>
        <v>0</v>
      </c>
      <c r="AM2" s="10">
        <f>IF(tblLines[[#This Row],[Branch]]="",0,INDEX(tblCodes[otrc],MATCH(tblLines[[#This Row],[Branch]],tblCodes[code],0))*tblLines[[#This Row],[Receipt_credit]])</f>
        <v>612</v>
      </c>
      <c r="AN2" s="10" t="str">
        <f>IF((tblLines[[#This Row],[Exposed]]=1),MAX(ROUND(tblLines[[#This Row],[sg_amount]],2)-tblLines[[#This Row],[OTRC]],0),"")</f>
        <v/>
      </c>
      <c r="AO2" s="10" t="str">
        <f>IF((tblLines[[#This Row],[Exposed]]=1),IF(AND(tblLines[[#This Row],[Settled]]&lt;&gt;"",tblLines[[#This Row],[Stale_prepay]]=0,tblLines[[#This Row],[Settled]]&gt;tblLines[[#This Row],[Final_due]],OR(Summary!$B$3="",tblLines[[#This Row],[Settled]]&lt;Summary!$B$3)),MIN(tblLines[[#This Row],[Receipt_credit]],tblLines[[#This Row],[Base_shortfall]]),0),"")</f>
        <v/>
      </c>
      <c r="AP2" s="10" t="str">
        <f>IF((tblLines[[#This Row],[Exposed]]=1),MAX(tblLines[[#This Row],[Base_shortfall]]-tblLines[[#This Row],[Offset_s18D]],0),"")</f>
        <v/>
      </c>
      <c r="AQ2" s="9" t="str">
        <f>IF((tblLines[[#This Row],[Exposed]]=1),IF(AND(tblLines[[#This Row],[Settled]]&lt;&gt;"",tblLines[[#This Row],[Stale_prepay]]=0,(tblLines[[#This Row],[Receipt_credit]]&gt;=tblLines[[#This Row],[sg_amount]])),"fund receipt",IF(AND(tblLines[[#This Row],[Settled]]&lt;&gt;"",tblLines[[#This Row],[Stale_prepay]]=0),"as-at date (shortfall remains after part receipt)",IF(AND(OR(tblLines[[#This Row],[Settled]]&lt;&gt;"",tblLines[[#This Row],[Remit]]&lt;&gt;""),tblLines[[#This Row],[Stale_prepay]]=0),"as-at date (no fund receipt recorded)","as-at date (nothing applied to this payday)"))),"")</f>
        <v/>
      </c>
      <c r="AR2" s="11" t="str">
        <f>IF((tblLines[[#This Row],[Exposed]]=1),IF(AND(tblLines[[#This Row],[Settled]]&lt;&gt;"",tblLines[[#This Row],[Stale_prepay]]=0,(tblLines[[#This Row],[Receipt_credit]]&gt;=tblLines[[#This Row],[sg_amount]])),tblLines[[#This Row],[Settled]],Summary!$B$2),"")</f>
        <v/>
      </c>
      <c r="AS2" s="11" t="str">
        <f>IF((tblLines[[#This Row],[Exposed]]=1),MIN(IF(Summary!$B$3="",DATE(2030,12,31),Summary!$B$3-1),IF(AND(tblLines[[#This Row],[Settled]]&lt;&gt;"",tblLines[[#This Row],[Stale_prepay]]=0,(tblLines[[#This Row],[Receipt_credit]]&gt;=tblLines[[#This Row],[sg_amount]]),tblLines[[#This Row],[Final_shortfall]]=0),tblLines[[#This Row],[Settled]],Summary!$B$2)),"")</f>
        <v/>
      </c>
      <c r="AT2" s="9" t="str">
        <f>IF((tblLines[[#This Row],[Exposed]]=1),IF(tblLines[[#This Row],[Past_horizon]]=1,"",MAX(tblLines[[#This Row],[Outstanding_to]]-tblLines[[#This Row],[Final_due]],0)),"")</f>
        <v/>
      </c>
      <c r="AU2" s="10" t="str">
        <f>IF((tblLines[[#This Row],[Exposed]]=1),IF(tblLines[[#This Row],[NEC_end]]&gt;tblLines[[#This Row],[Final_due]],tblLines[[#This Row],[Base_shortfall]]*(EXP(SUMPRODUCT((((((tblLines[[#This Row],[NEC_end]]+tblGic[to]-ABS(tblLines[[#This Row],[NEC_end]]-tblGic[to]))/2)-(((tblLines[[#This Row],[Final_due]]+1)+tblGic[from]+ABS((tblLines[[#This Row],[Final_due]]+1)-tblGic[from]))/2)+1)&gt;0)*(((tblLines[[#This Row],[NEC_end]]+tblGic[to]-ABS(tblLines[[#This Row],[NEC_end]]-tblGic[to]))/2)-(((tblLines[[#This Row],[Final_due]]+1)+tblGic[from]+ABS((tblLines[[#This Row],[Final_due]]+1)-tblGic[from]))/2)+1))*LN(1+tblGic[annual_pct]/100/tblGic[divisor])))-1),0),"")</f>
        <v/>
      </c>
      <c r="AV2" s="9" t="str">
        <f>IF((tblLines[[#This Row],[Exposed]]=1),IF(tblLines[[#This Row],[NEC_end]]&gt;Summary!$B$7,1,0),"")</f>
        <v/>
      </c>
      <c r="AW2" s="10" t="str">
        <f>IF((tblLines[[#This Row],[Exposed]]=1),ROUND(tblLines[[#This Row],[Final_shortfall]],2),"")</f>
        <v/>
      </c>
      <c r="AX2" s="10" t="str">
        <f>IF((tblLines[[#This Row],[Exposed]]=1),ROUND(tblLines[[#This Row],[NEC]],2),"")</f>
        <v/>
      </c>
      <c r="AY2" s="10" t="str">
        <f>IF((tblLines[[#This Row],[Exposed]]=1),0,"")</f>
        <v/>
      </c>
      <c r="AZ2" s="10" t="str">
        <f>IF((tblLines[[#This Row],[Exposed]]=1),ROUND(0.6*(tblLines[[#This Row],[Final_shortfall]]+tblLines[[#This Row],[NEC]]),2),"")</f>
        <v/>
      </c>
      <c r="BA2" s="10" t="str">
        <f>IF((tblLines[[#This Row],[Exposed]]=1),tblLines[[#This Row],[Shortfall_r]]+tblLines[[#This Row],[NEC_r]]+tblLines[[#This Row],[Uplift_best]],"")</f>
        <v/>
      </c>
      <c r="BB2" s="10" t="str">
        <f>IF((tblLines[[#This Row],[Exposed]]=1),tblLines[[#This Row],[Shortfall_r]]+tblLines[[#This Row],[NEC_r]]+tblLines[[#This Row],[Uplift_worst]],"")</f>
        <v/>
      </c>
      <c r="BC2" s="9">
        <f>IF(AND(tblLines[[#This Row],[Flag_db]]&lt;&gt;1,ISNUMBER(tblLines[[#This Row],[sg_amount]]),tblLines[[#This Row],[sg_amount]]&gt;0,tblLines[[#This Row],[Cap]]&gt;0,OR(ISNUMBER(tblLines[[#This Row],[fund_received_date]]),ISNUMBER(tblLines[[#This Row],[remitted_date]])),IF(ISNUMBER(tblLines[[#This Row],[fund_received_date]]),tblLines[[#This Row],[fund_received_date]],tblLines[[#This Row],[remitted_date]])&lt;=DATE(2026,7,28)),1,0)</f>
        <v>1</v>
      </c>
      <c r="BD2" s="9">
        <f>IF(tblLines[[#This Row],[Settled]]&lt;&gt;"",1,0)</f>
        <v>1</v>
      </c>
      <c r="BE2" s="9">
        <f>IF(AND(tblLines[[#This Row],[Verdict]]&lt;&gt;"",tblLines[[#This Row],[Verdict]]&lt;&gt;"SKIPPED",ISNUMBER(tblLines[[#This Row],[sg_amount]]),tblLines[[#This Row],[sg_amount]]&gt;0),1,0)</f>
        <v>1</v>
      </c>
      <c r="BF2" s="9">
        <f>IF(COUNTIFS(tblLines[employee_id],tblLines[[#This Row],[employee_id]],tblLines[payment_date],tblLines[[#This Row],[payment_date]],tblLines[sg_amount],tblLines[[#This Row],[sg_amount]],tblLines[remitted_date],tblLines[[#This Row],[remitted_date]]&amp;"",tblLines[fund_received_date],tblLines[[#This Row],[fund_received_date]]&amp;"")&gt;1,1,0)</f>
        <v>0</v>
      </c>
    </row>
    <row r="3" spans="1:58" x14ac:dyDescent="0.25">
      <c r="A3" s="6" t="s">
        <v>69</v>
      </c>
      <c r="B3" s="7">
        <v>46212</v>
      </c>
      <c r="C3" s="8">
        <v>540</v>
      </c>
      <c r="D3" s="7">
        <v>46233</v>
      </c>
      <c r="E3" s="8"/>
      <c r="F3" s="8"/>
      <c r="G3" s="7">
        <v>46238</v>
      </c>
      <c r="H3" s="6" t="s">
        <v>68</v>
      </c>
      <c r="I3" s="6" t="s">
        <v>68</v>
      </c>
      <c r="J3" s="7"/>
      <c r="K3" s="6" t="s">
        <v>68</v>
      </c>
      <c r="L3" s="9">
        <f>IF(OR(LOWER(TRIM(tblLines[[#This Row],[defined_benefit]]&amp;""))={"1","t","true","y","yes"}),1,IF(OR(LOWER(TRIM(tblLines[[#This Row],[defined_benefit]]&amp;""))={"","0","f","false","n","no"}),0,""))</f>
        <v>0</v>
      </c>
      <c r="M3" s="9">
        <f>IF(OR(LOWER(TRIM(tblLines[[#This Row],[out_of_cycle]]&amp;""))={"1","t","true","y","yes"}),1,IF(OR(LOWER(TRIM(tblLines[[#This Row],[out_of_cycle]]&amp;""))={"","0","f","false","n","no"}),0,""))</f>
        <v>0</v>
      </c>
      <c r="N3" s="9">
        <f>IF(OR(LOWER(TRIM(tblLines[[#This Row],[first_contribution_to_fund]]&amp;""))={"1","t","true","y","yes"}),1,IF(OR(LOWER(TRIM(tblLines[[#This Row],[first_contribution_to_fund]]&amp;""))={"","0","f","false","n","no"}),0,""))</f>
        <v>0</v>
      </c>
      <c r="O3" s="9" t="str">
        <f>TRIM(IF(OR(AND(tblLines[[#This Row],[payment_date]]&lt;&gt;"",NOT(ISNUMBER(tblLines[[#This Row],[payment_date]]))),AND(tblLines[[#This Row],[remitted_date]]&lt;&gt;"",NOT(ISNUMBER(tblLines[[#This Row],[remitted_date]]))),AND(tblLines[[#This Row],[fund_received_date]]&lt;&gt;"",NOT(ISNUMBER(tblLines[[#This Row],[fund_received_date]]))),AND(tblLines[[#This Row],[next_standard_payday]]&lt;&gt;"",NOT(ISNUMBER(tblLines[[#This Row],[next_standard_payday]])))),"date ","")&amp;IF(NOT(ISNUMBER(tblLines[[#This Row],[payment_date]])),"payment_date ","")&amp;IF(AND(ISNUMBER(tblLines[[#This Row],[payment_date]]),tblLines[[#This Row],[payment_date]]&lt;DATE(2026,7,1)),"pre-1-Jul-2026 ","")&amp;IF(OR(AND(tblLines[[#This Row],[sg_amount]]&lt;&gt;"",OR(NOT(ISNUMBER(tblLines[[#This Row],[sg_amount]])),tblLines[[#This Row],[sg_amount]]&lt;0)),AND(tblLines[[#This Row],[remitted_amount]]&lt;&gt;"",OR(NOT(ISNUMBER(tblLines[[#This Row],[remitted_amount]])),tblLines[[#This Row],[remitted_amount]]&lt;0)),AND(tblLines[[#This Row],[matched_amount]]&lt;&gt;"",OR(NOT(ISNUMBER(tblLines[[#This Row],[matched_amount]])),tblLines[[#This Row],[matched_amount]]&lt;0))),"amount ","")&amp;IF(NOT(ISNUMBER(tblLines[[#This Row],[sg_amount]])),"sg_amount ","")&amp;IF(OR(tblLines[[#This Row],[Flag_ftf]]="",tblLines[[#This Row],[Flag_ooc]]="",tblLines[[#This Row],[Flag_db]]=""),"yes/no ","")&amp;IF(AND(ISNUMBER(tblLines[[#This Row],[remitted_amount]]),ISNUMBER(tblLines[[#This Row],[sg_amount]]),tblLines[[#This Row],[remitted_amount]]&gt;tblLines[[#This Row],[sg_amount]]),"remitted_amount&gt;sg ","")&amp;IF(AND(ISNUMBER(tblLines[[#This Row],[remitted_amount]]),NOT(ISNUMBER(tblLines[[#This Row],[remitted_date]]))),"remitted_amount-needs-date ","")&amp;IF(AND(ISNUMBER(tblLines[[#This Row],[matched_amount]]),ISNUMBER(tblLines[[#This Row],[sg_amount]]),tblLines[[#This Row],[matched_amount]]&gt;tblLines[[#This Row],[sg_amount]]),"matched_amount&gt;sg ","")&amp;IF(AND(ISNUMBER(tblLines[[#This Row],[matched_amount]]),ISNUMBER(tblLines[[#This Row],[remitted_amount]]),tblLines[[#This Row],[remitted_amount]]&gt;tblLines[[#This Row],[matched_amount]]),"remitted_amount&gt;matched ","")&amp;IF(AND(ISNUMBER(tblLines[[#This Row],[matched_amount]]),ISNUMBER(tblLines[[#This Row],[sg_amount]]),tblLines[[#This Row],[matched_amount]]&lt;tblLines[[#This Row],[sg_amount]],ISNUMBER(tblLines[[#This Row],[remitted_date]]),NOT(ISNUMBER(tblLines[[#This Row],[remitted_amount]]))),"partial-match-needs-remitted_amount ","")&amp;IF(AND(ISNUMBER(tblLines[[#This Row],[fund_received_date]]),ISNUMBER(tblLines[[#This Row],[remitted_date]]),tblLines[[#This Row],[fund_received_date]]&lt;tblLines[[#This Row],[remitted_date]]),"receipt-before-remittance ","")&amp;IF(AND(tblLines[[#This Row],[Flag_ooc]]=1,NOT(ISNUMBER(tblLines[[#This Row],[next_standard_payday]]))),"out_of_cycle-needs-next_standard_payday ","")&amp;IF(AND(tblLines[[#This Row],[Flag_ooc]]=1,ISNUMBER(tblLines[[#This Row],[next_standard_payday]]),ISNUMBER(tblLines[[#This Row],[payment_date]]),tblLines[[#This Row],[next_standard_payday]]&lt;=tblLines[[#This Row],[payment_date]]),"next_standard_payday-not-after-payday ",""))</f>
        <v/>
      </c>
      <c r="P3" s="9">
        <f>IF(OR(_xlfn.ISFORMULA(tblLines[[#This Row],[employee_id]]),_xlfn.ISFORMULA(tblLines[[#This Row],[payment_date]]),_xlfn.ISFORMULA(tblLines[[#This Row],[sg_amount]]),_xlfn.ISFORMULA(tblLines[[#This Row],[remitted_date]]),_xlfn.ISFORMULA(tblLines[[#This Row],[remitted_amount]]),_xlfn.ISFORMULA(tblLines[[#This Row],[matched_amount]]),_xlfn.ISFORMULA(tblLines[[#This Row],[fund_received_date]]),_xlfn.ISFORMULA(tblLines[[#This Row],[first_contribution_to_fund]]),_xlfn.ISFORMULA(tblLines[[#This Row],[out_of_cycle]]),_xlfn.ISFORMULA(tblLines[[#This Row],[next_standard_payday]]),_xlfn.ISFORMULA(tblLines[[#This Row],[defined_benefit]])),1,0)</f>
        <v>0</v>
      </c>
      <c r="Q3" s="10">
        <f>IF(ISNUMBER(tblLines[[#This Row],[matched_amount]]),tblLines[[#This Row],[matched_amount]],IF(ISNUMBER(tblLines[[#This Row],[remitted_amount]]),tblLines[[#This Row],[remitted_amount]],tblLines[[#This Row],[sg_amount]]))</f>
        <v>540</v>
      </c>
      <c r="R3" s="11" t="str">
        <f>IF(AND(tblLines[[#This Row],[Flag_ooc]]=1,ISNUMBER(tblLines[[#This Row],[next_standard_payday]])),WORKDAY.INTL(tblLines[[#This Row],[next_standard_payday]],7,1,tblHolidays[date]),"")</f>
        <v/>
      </c>
      <c r="S3" s="11" t="str">
        <f>IF(tblLines[[#This Row],[Flag_ftf]]=1,WORKDAY.INTL(tblLines[[#This Row],[payment_date]],20,1,tblHolidays[date]),"")</f>
        <v/>
      </c>
      <c r="T3" s="11">
        <f>IF(OR(tblLines[[#This Row],[Flag_db]]=1,NOT(ISNUMBER(tblLines[[#This Row],[payment_date]]))),"",IF(OR(tblLines[[#This Row],[Flag_ooc]]=1,tblLines[[#This Row],[Flag_ftf]]=1),MAX(tblLines[[#This Row],[Due_ooc]],tblLines[[#This Row],[Due_ftf]]),WORKDAY.INTL(tblLines[[#This Row],[payment_date]],7,1,tblHolidays[date])))</f>
        <v>46223</v>
      </c>
      <c r="U3" s="9" t="str">
        <f>IF(tblLines[[#This Row],[Flag_db]]=1,"SKIP_DB",IF(tblLines[[#This Row],[Flag_ooc]]=1,IF(AND(tblLines[[#This Row],[Flag_ftf]]=1,tblLines[[#This Row],[Due_ftf]]&gt;tblLines[[#This Row],[Due_ooc]]),"EXTENDED_20BD","OUT_OF_CYCLE"),IF(tblLines[[#This Row],[Flag_ftf]]=1,"EXTENDED_20BD","USUAL_7BD")))</f>
        <v>USUAL_7BD</v>
      </c>
      <c r="V3" s="11">
        <f>IF(ISNUMBER(tblLines[[#This Row],[payment_date]]),EDATE(tblLines[[#This Row],[payment_date]]-1,-12)+1,"")</f>
        <v>45847</v>
      </c>
      <c r="W3" s="11">
        <f>IF(AND(ISNUMBER(tblLines[[#This Row],[fund_received_date]]),tblLines[[#This Row],[fund_received_date]]&lt;=Summary!$B$2),tblLines[[#This Row],[fund_received_date]],"")</f>
        <v>46238</v>
      </c>
      <c r="X3" s="11">
        <f>IF(AND(ISNUMBER(tblLines[[#This Row],[remitted_date]]),tblLines[[#This Row],[remitted_date]]&lt;=Summary!$B$2),tblLines[[#This Row],[remitted_date]],"")</f>
        <v>46233</v>
      </c>
      <c r="Y3" s="10">
        <f>IF(tblLines[[#This Row],[Settled]]&lt;&gt;"",MIN(ROUND(tblLines[[#This Row],[Cap]],2),ROUND(tblLines[[#This Row],[sg_amount]],2)),0)</f>
        <v>540</v>
      </c>
      <c r="Z3" s="10">
        <f>IF(ISNUMBER(tblLines[[#This Row],[remitted_amount]]),IF(tblLines[[#This Row],[Remit]]&lt;&gt;"",MIN(ROUND(tblLines[[#This Row],[remitted_amount]],2),ROUND(tblLines[[#This Row],[sg_amount]],2)),0),IF(tblLines[[#This Row],[Remit]]&lt;&gt;"",ROUND(tblLines[[#This Row],[sg_amount]],2),0))</f>
        <v>540</v>
      </c>
      <c r="AA3" s="9" t="str">
        <f>IF(OR(tblLines[[#This Row],[Own_due]]="",tblLines[[#This Row],[sg_amount]]&lt;=0,tblLines[[#This Row],[Flag_db]]=1,tblLines[[#This Row],[Cap]]&lt;=0),"impossible",IF(ISNUMBER(tblLines[[#This Row],[fund_received_date]]),IF(tblLines[[#This Row],[fund_received_date]]&lt;tblLines[[#This Row],[Earliest_prepay]],"impossible",IF(tblLines[[#This Row],[fund_received_date]]&lt;=Summary!$B$2,IF(OR(tblLines[[#This Row],[fund_received_date]]&lt;tblLines[[#This Row],[payment_date]],tblLines[[#This Row],[fund_received_date]]&lt;=tblLines[[#This Row],[Own_due]]),"confirmed",IF(tblLines[[#This Row],[fund_received_date]]&gt;tblLines[[#This Row],[Own_due]],"impossible","possible")),IF(tblLines[[#This Row],[fund_received_date]]&lt;=tblLines[[#This Row],[Own_due]],"possible","impossible"))),IF(AND(ISNUMBER(tblLines[[#This Row],[remitted_date]]),tblLines[[#This Row],[remitted_date]]&gt;tblLines[[#This Row],[Own_due]]),"impossible","possible")))</f>
        <v>impossible</v>
      </c>
      <c r="AB3" s="11">
        <f>IF(OR(tblLines[[#This Row],[Flag_db]]=1,tblLines[[#This Row],[Own_due]]=""),"",_xlfn.MAXIFS(tblLines[Own_due],tblLines[employee_id],tblLines[[#This Row],[employee_id]],tblLines[payment_date],"&lt;"&amp;tblLines[[#This Row],[payment_date]],tblLines[Evidence_own],"confirmed"))</f>
        <v>0</v>
      </c>
      <c r="AC3" s="11">
        <f>IF(OR(tblLines[[#This Row],[Flag_db]]=1,tblLines[[#This Row],[Own_due]]=""),"",_xlfn.MAXIFS(tblLines[Own_due],tblLines[employee_id],tblLines[[#This Row],[employee_id]],tblLines[payment_date],"&lt;"&amp;tblLines[[#This Row],[payment_date]],tblLines[Evidence_own],"&lt;&gt;impossible"))</f>
        <v>0</v>
      </c>
      <c r="AD3" s="11">
        <f>IF(tblLines[[#This Row],[Own_due]]="","",IF(AND(ISNUMBER(tblLines[[#This Row],[Confirmed_latest]]),tblLines[[#This Row],[Confirmed_latest]]&gt;tblLines[[#This Row],[Own_due]]),tblLines[[#This Row],[Confirmed_latest]],tblLines[[#This Row],[Own_due]]))</f>
        <v>46223</v>
      </c>
      <c r="AE3" s="9" t="str">
        <f>IF(tblLines[[#This Row],[Own_due]]="",tblLines[[#This Row],[Own_pathway]],IF(AND(ISNUMBER(tblLines[[#This Row],[Confirmed_latest]]),tblLines[[#This Row],[Confirmed_latest]]&gt;tblLines[[#This Row],[Own_due]]),"ITEM4_ALIGNED",tblLines[[#This Row],[Own_pathway]]))</f>
        <v>USUAL_7BD</v>
      </c>
      <c r="AF3" s="11" t="str">
        <f>IF(tblLines[[#This Row],[Final_due]]="","",IF(AND(ISNUMBER(tblLines[[#This Row],[Possible_latest]]),tblLines[[#This Row],[Possible_latest]]&gt;tblLines[[#This Row],[Final_due]]),tblLines[[#This Row],[Possible_latest]],""))</f>
        <v/>
      </c>
      <c r="AG3" s="9">
        <f>IF(tblLines[[#This Row],[Final_due]]="","",IF((tblLines[[#This Row],[Final_due]]&gt;Summary!$B$6),1,0))</f>
        <v>0</v>
      </c>
      <c r="AH3" s="9" t="str">
        <f>IF(tblLines[[#This Row],[Flag_db]]=1,"DB",IF(tblLines[[#This Row],[Final_due]]="","",IF(tblLines[[#This Row],[sg_amount]]&lt;=0,"NIL",IF(tblLines[[#This Row],[Settled]]&lt;&gt;"",IF(tblLines[[#This Row],[Settled]]&lt;tblLines[[#This Row],[payment_date]],IF(tblLines[[#This Row],[Settled]]&gt;=tblLines[[#This Row],[Earliest_prepay]],IF((tblLines[[#This Row],[Receipt_credit]]&gt;=tblLines[[#This Row],[sg_amount]]),"A1",IF(tblLines[[#This Row],[Final_due]]&gt;=Summary!$B$2,"A2",IF(OR((tblLines[[#This Row],[Final_due]]&gt;Summary!$B$6),AND((tblLines[[#This Row],[Possible_item4]]&lt;&gt;""),Summary!$B$2&lt;=tblLines[[#This Row],[Possible_item4]])),"A3","A4"))),IF(tblLines[[#This Row],[Final_due]]&gt;=Summary!$B$2,"S1",IF(OR((tblLines[[#This Row],[Final_due]]&gt;Summary!$B$6),AND((tblLines[[#This Row],[Possible_item4]]&lt;&gt;""),Summary!$B$2&lt;=tblLines[[#This Row],[Possible_item4]])),"S2","S3"))),IF(AND((tblLines[[#This Row],[Possible_item4]]&lt;&gt;""),tblLines[[#This Row],[Final_due]]&lt;tblLines[[#This Row],[Settled]],tblLines[[#This Row],[Settled]]&lt;=tblLines[[#This Row],[Possible_item4]]),IF((tblLines[[#This Row],[Receipt_credit]]&gt;=tblLines[[#This Row],[sg_amount]]),"B1",IF(Summary!$B$2&lt;=tblLines[[#This Row],[Possible_item4]],"B2","B3")),IF(AND((tblLines[[#This Row],[Final_due]]&gt;Summary!$B$6),tblLines[[#This Row],[Settled]]&gt;tblLines[[#This Row],[Final_due]]),IF((tblLines[[#This Row],[Receipt_credit]]&gt;=tblLines[[#This Row],[sg_amount]]),"C1","C2"),IF(tblLines[[#This Row],[Settled]]&lt;=tblLines[[#This Row],[Final_due]],IF((tblLines[[#This Row],[Receipt_credit]]&gt;=tblLines[[#This Row],[sg_amount]]),"D1",IF(OR((tblLines[[#This Row],[Final_due]]&gt;Summary!$B$6),AND((tblLines[[#This Row],[Possible_item4]]&lt;&gt;""),Summary!$B$2&lt;=tblLines[[#This Row],[Possible_item4]])),"D2",IF(tblLines[[#This Row],[Final_due]]&lt;Summary!$B$2,"D3","D4"))),"E")))),IF(AND(tblLines[[#This Row],[Remit]]&lt;&gt;"",tblLines[[#This Row],[sg_amount]]-tblLines[[#This Row],[Credit]]&lt;=0),IF(AND((tblLines[[#This Row],[Possible_item4]]&lt;&gt;""),tblLines[[#This Row],[Final_due]]&lt;tblLines[[#This Row],[Remit]],tblLines[[#This Row],[Remit]]&lt;=tblLines[[#This Row],[Possible_item4]]),"R1",IF(AND((tblLines[[#This Row],[Final_due]]&gt;Summary!$B$6),tblLines[[#This Row],[Remit]]&gt;tblLines[[#This Row],[Final_due]]),"R2",IF(tblLines[[#This Row],[Remit]]&lt;=tblLines[[#This Row],[Final_due]],"R3","R4"))),IF(tblLines[[#This Row],[Final_due]]&lt;Summary!$B$2,IF(OR((tblLines[[#This Row],[Final_due]]&gt;Summary!$B$6),AND((tblLines[[#This Row],[Possible_item4]]&lt;&gt;""),Summary!$B$2&lt;=tblLines[[#This Row],[Possible_item4]])),"N1","N2"),"N3"))))))</f>
        <v>E</v>
      </c>
      <c r="AI3" s="9" t="str">
        <f>IF(tblLines[[#This Row],[Branch]]="","",INDEX(tblCodes[verdict],MATCH(tblLines[[#This Row],[Branch]],tblCodes[code],0)))</f>
        <v>LATE</v>
      </c>
      <c r="AJ3" s="9" t="str">
        <f>IF(tblLines[[#This Row],[Branch]]="","",T(INDEX(tblCodes[unassessable],MATCH(tblLines[[#This Row],[Branch]],tblCodes[code],0))))</f>
        <v/>
      </c>
      <c r="AK3" s="9">
        <f>IF(tblLines[[#This Row],[Branch]]="",0,INDEX(tblCodes[exposed],MATCH(tblLines[[#This Row],[Branch]],tblCodes[code],0)))</f>
        <v>1</v>
      </c>
      <c r="AL3" s="9">
        <f>IF(tblLines[[#This Row],[Branch]]="",0,INDEX(tblCodes[stale],MATCH(tblLines[[#This Row],[Branch]],tblCodes[code],0)))</f>
        <v>0</v>
      </c>
      <c r="AM3" s="10">
        <f>IF(tblLines[[#This Row],[Branch]]="",0,INDEX(tblCodes[otrc],MATCH(tblLines[[#This Row],[Branch]],tblCodes[code],0))*tblLines[[#This Row],[Receipt_credit]])</f>
        <v>0</v>
      </c>
      <c r="AN3" s="10">
        <f>IF((tblLines[[#This Row],[Exposed]]=1),MAX(ROUND(tblLines[[#This Row],[sg_amount]],2)-tblLines[[#This Row],[OTRC]],0),"")</f>
        <v>540</v>
      </c>
      <c r="AO3" s="10">
        <f>IF((tblLines[[#This Row],[Exposed]]=1),IF(AND(tblLines[[#This Row],[Settled]]&lt;&gt;"",tblLines[[#This Row],[Stale_prepay]]=0,tblLines[[#This Row],[Settled]]&gt;tblLines[[#This Row],[Final_due]],OR(Summary!$B$3="",tblLines[[#This Row],[Settled]]&lt;Summary!$B$3)),MIN(tblLines[[#This Row],[Receipt_credit]],tblLines[[#This Row],[Base_shortfall]]),0),"")</f>
        <v>540</v>
      </c>
      <c r="AP3" s="10">
        <f>IF((tblLines[[#This Row],[Exposed]]=1),MAX(tblLines[[#This Row],[Base_shortfall]]-tblLines[[#This Row],[Offset_s18D]],0),"")</f>
        <v>0</v>
      </c>
      <c r="AQ3" s="9" t="str">
        <f>IF((tblLines[[#This Row],[Exposed]]=1),IF(AND(tblLines[[#This Row],[Settled]]&lt;&gt;"",tblLines[[#This Row],[Stale_prepay]]=0,(tblLines[[#This Row],[Receipt_credit]]&gt;=tblLines[[#This Row],[sg_amount]])),"fund receipt",IF(AND(tblLines[[#This Row],[Settled]]&lt;&gt;"",tblLines[[#This Row],[Stale_prepay]]=0),"as-at date (shortfall remains after part receipt)",IF(AND(OR(tblLines[[#This Row],[Settled]]&lt;&gt;"",tblLines[[#This Row],[Remit]]&lt;&gt;""),tblLines[[#This Row],[Stale_prepay]]=0),"as-at date (no fund receipt recorded)","as-at date (nothing applied to this payday)"))),"")</f>
        <v>fund receipt</v>
      </c>
      <c r="AR3" s="11">
        <f>IF((tblLines[[#This Row],[Exposed]]=1),IF(AND(tblLines[[#This Row],[Settled]]&lt;&gt;"",tblLines[[#This Row],[Stale_prepay]]=0,(tblLines[[#This Row],[Receipt_credit]]&gt;=tblLines[[#This Row],[sg_amount]])),tblLines[[#This Row],[Settled]],Summary!$B$2),"")</f>
        <v>46238</v>
      </c>
      <c r="AS3" s="11">
        <f>IF((tblLines[[#This Row],[Exposed]]=1),MIN(IF(Summary!$B$3="",DATE(2030,12,31),Summary!$B$3-1),IF(AND(tblLines[[#This Row],[Settled]]&lt;&gt;"",tblLines[[#This Row],[Stale_prepay]]=0,(tblLines[[#This Row],[Receipt_credit]]&gt;=tblLines[[#This Row],[sg_amount]]),tblLines[[#This Row],[Final_shortfall]]=0),tblLines[[#This Row],[Settled]],Summary!$B$2)),"")</f>
        <v>46238</v>
      </c>
      <c r="AT3" s="9">
        <f>IF((tblLines[[#This Row],[Exposed]]=1),IF(tblLines[[#This Row],[Past_horizon]]=1,"",MAX(tblLines[[#This Row],[Outstanding_to]]-tblLines[[#This Row],[Final_due]],0)),"")</f>
        <v>15</v>
      </c>
      <c r="AU3" s="10">
        <f>IF((tblLines[[#This Row],[Exposed]]=1),IF(tblLines[[#This Row],[NEC_end]]&gt;tblLines[[#This Row],[Final_due]],tblLines[[#This Row],[Base_shortfall]]*(EXP(SUMPRODUCT((((((tblLines[[#This Row],[NEC_end]]+tblGic[to]-ABS(tblLines[[#This Row],[NEC_end]]-tblGic[to]))/2)-(((tblLines[[#This Row],[Final_due]]+1)+tblGic[from]+ABS((tblLines[[#This Row],[Final_due]]+1)-tblGic[from]))/2)+1)&gt;0)*(((tblLines[[#This Row],[NEC_end]]+tblGic[to]-ABS(tblLines[[#This Row],[NEC_end]]-tblGic[to]))/2)-(((tblLines[[#This Row],[Final_due]]+1)+tblGic[from]+ABS((tblLines[[#This Row],[Final_due]]+1)-tblGic[from]))/2)+1))*LN(1+tblGic[annual_pct]/100/tblGic[divisor])))-1),0),"")</f>
        <v>2.5420882921707211</v>
      </c>
      <c r="AV3" s="9">
        <f>IF((tblLines[[#This Row],[Exposed]]=1),IF(tblLines[[#This Row],[NEC_end]]&gt;Summary!$B$7,1,0),"")</f>
        <v>0</v>
      </c>
      <c r="AW3" s="10">
        <f>IF((tblLines[[#This Row],[Exposed]]=1),ROUND(tblLines[[#This Row],[Final_shortfall]],2),"")</f>
        <v>0</v>
      </c>
      <c r="AX3" s="10">
        <f>IF((tblLines[[#This Row],[Exposed]]=1),ROUND(tblLines[[#This Row],[NEC]],2),"")</f>
        <v>2.54</v>
      </c>
      <c r="AY3" s="10">
        <f>IF((tblLines[[#This Row],[Exposed]]=1),0,"")</f>
        <v>0</v>
      </c>
      <c r="AZ3" s="10">
        <f>IF((tblLines[[#This Row],[Exposed]]=1),ROUND(0.6*(tblLines[[#This Row],[Final_shortfall]]+tblLines[[#This Row],[NEC]]),2),"")</f>
        <v>1.53</v>
      </c>
      <c r="BA3" s="10">
        <f>IF((tblLines[[#This Row],[Exposed]]=1),tblLines[[#This Row],[Shortfall_r]]+tblLines[[#This Row],[NEC_r]]+tblLines[[#This Row],[Uplift_best]],"")</f>
        <v>2.54</v>
      </c>
      <c r="BB3" s="10">
        <f>IF((tblLines[[#This Row],[Exposed]]=1),tblLines[[#This Row],[Shortfall_r]]+tblLines[[#This Row],[NEC_r]]+tblLines[[#This Row],[Uplift_worst]],"")</f>
        <v>4.07</v>
      </c>
      <c r="BC3" s="9">
        <f>IF(AND(tblLines[[#This Row],[Flag_db]]&lt;&gt;1,ISNUMBER(tblLines[[#This Row],[sg_amount]]),tblLines[[#This Row],[sg_amount]]&gt;0,tblLines[[#This Row],[Cap]]&gt;0,OR(ISNUMBER(tblLines[[#This Row],[fund_received_date]]),ISNUMBER(tblLines[[#This Row],[remitted_date]])),IF(ISNUMBER(tblLines[[#This Row],[fund_received_date]]),tblLines[[#This Row],[fund_received_date]],tblLines[[#This Row],[remitted_date]])&lt;=DATE(2026,7,28)),1,0)</f>
        <v>0</v>
      </c>
      <c r="BD3" s="9">
        <f>IF(tblLines[[#This Row],[Settled]]&lt;&gt;"",1,0)</f>
        <v>1</v>
      </c>
      <c r="BE3" s="9">
        <f>IF(AND(tblLines[[#This Row],[Verdict]]&lt;&gt;"",tblLines[[#This Row],[Verdict]]&lt;&gt;"SKIPPED",ISNUMBER(tblLines[[#This Row],[sg_amount]]),tblLines[[#This Row],[sg_amount]]&gt;0),1,0)</f>
        <v>1</v>
      </c>
      <c r="BF3" s="9">
        <f>IF(COUNTIFS(tblLines[employee_id],tblLines[[#This Row],[employee_id]],tblLines[payment_date],tblLines[[#This Row],[payment_date]],tblLines[sg_amount],tblLines[[#This Row],[sg_amount]],tblLines[remitted_date],tblLines[[#This Row],[remitted_date]]&amp;"",tblLines[fund_received_date],tblLines[[#This Row],[fund_received_date]]&amp;"")&gt;1,1,0)</f>
        <v>0</v>
      </c>
    </row>
    <row r="4" spans="1:58" x14ac:dyDescent="0.25">
      <c r="A4" s="6" t="s">
        <v>70</v>
      </c>
      <c r="B4" s="7">
        <v>46212</v>
      </c>
      <c r="C4" s="8">
        <v>318</v>
      </c>
      <c r="D4" s="7">
        <v>46218</v>
      </c>
      <c r="E4" s="8"/>
      <c r="F4" s="8"/>
      <c r="G4" s="7"/>
      <c r="H4" s="6" t="s">
        <v>68</v>
      </c>
      <c r="I4" s="6" t="s">
        <v>68</v>
      </c>
      <c r="J4" s="7"/>
      <c r="K4" s="6" t="s">
        <v>68</v>
      </c>
      <c r="L4" s="9">
        <f>IF(OR(LOWER(TRIM(tblLines[[#This Row],[defined_benefit]]&amp;""))={"1","t","true","y","yes"}),1,IF(OR(LOWER(TRIM(tblLines[[#This Row],[defined_benefit]]&amp;""))={"","0","f","false","n","no"}),0,""))</f>
        <v>0</v>
      </c>
      <c r="M4" s="9">
        <f>IF(OR(LOWER(TRIM(tblLines[[#This Row],[out_of_cycle]]&amp;""))={"1","t","true","y","yes"}),1,IF(OR(LOWER(TRIM(tblLines[[#This Row],[out_of_cycle]]&amp;""))={"","0","f","false","n","no"}),0,""))</f>
        <v>0</v>
      </c>
      <c r="N4" s="9">
        <f>IF(OR(LOWER(TRIM(tblLines[[#This Row],[first_contribution_to_fund]]&amp;""))={"1","t","true","y","yes"}),1,IF(OR(LOWER(TRIM(tblLines[[#This Row],[first_contribution_to_fund]]&amp;""))={"","0","f","false","n","no"}),0,""))</f>
        <v>0</v>
      </c>
      <c r="O4" s="9" t="str">
        <f>TRIM(IF(OR(AND(tblLines[[#This Row],[payment_date]]&lt;&gt;"",NOT(ISNUMBER(tblLines[[#This Row],[payment_date]]))),AND(tblLines[[#This Row],[remitted_date]]&lt;&gt;"",NOT(ISNUMBER(tblLines[[#This Row],[remitted_date]]))),AND(tblLines[[#This Row],[fund_received_date]]&lt;&gt;"",NOT(ISNUMBER(tblLines[[#This Row],[fund_received_date]]))),AND(tblLines[[#This Row],[next_standard_payday]]&lt;&gt;"",NOT(ISNUMBER(tblLines[[#This Row],[next_standard_payday]])))),"date ","")&amp;IF(NOT(ISNUMBER(tblLines[[#This Row],[payment_date]])),"payment_date ","")&amp;IF(AND(ISNUMBER(tblLines[[#This Row],[payment_date]]),tblLines[[#This Row],[payment_date]]&lt;DATE(2026,7,1)),"pre-1-Jul-2026 ","")&amp;IF(OR(AND(tblLines[[#This Row],[sg_amount]]&lt;&gt;"",OR(NOT(ISNUMBER(tblLines[[#This Row],[sg_amount]])),tblLines[[#This Row],[sg_amount]]&lt;0)),AND(tblLines[[#This Row],[remitted_amount]]&lt;&gt;"",OR(NOT(ISNUMBER(tblLines[[#This Row],[remitted_amount]])),tblLines[[#This Row],[remitted_amount]]&lt;0)),AND(tblLines[[#This Row],[matched_amount]]&lt;&gt;"",OR(NOT(ISNUMBER(tblLines[[#This Row],[matched_amount]])),tblLines[[#This Row],[matched_amount]]&lt;0))),"amount ","")&amp;IF(NOT(ISNUMBER(tblLines[[#This Row],[sg_amount]])),"sg_amount ","")&amp;IF(OR(tblLines[[#This Row],[Flag_ftf]]="",tblLines[[#This Row],[Flag_ooc]]="",tblLines[[#This Row],[Flag_db]]=""),"yes/no ","")&amp;IF(AND(ISNUMBER(tblLines[[#This Row],[remitted_amount]]),ISNUMBER(tblLines[[#This Row],[sg_amount]]),tblLines[[#This Row],[remitted_amount]]&gt;tblLines[[#This Row],[sg_amount]]),"remitted_amount&gt;sg ","")&amp;IF(AND(ISNUMBER(tblLines[[#This Row],[remitted_amount]]),NOT(ISNUMBER(tblLines[[#This Row],[remitted_date]]))),"remitted_amount-needs-date ","")&amp;IF(AND(ISNUMBER(tblLines[[#This Row],[matched_amount]]),ISNUMBER(tblLines[[#This Row],[sg_amount]]),tblLines[[#This Row],[matched_amount]]&gt;tblLines[[#This Row],[sg_amount]]),"matched_amount&gt;sg ","")&amp;IF(AND(ISNUMBER(tblLines[[#This Row],[matched_amount]]),ISNUMBER(tblLines[[#This Row],[remitted_amount]]),tblLines[[#This Row],[remitted_amount]]&gt;tblLines[[#This Row],[matched_amount]]),"remitted_amount&gt;matched ","")&amp;IF(AND(ISNUMBER(tblLines[[#This Row],[matched_amount]]),ISNUMBER(tblLines[[#This Row],[sg_amount]]),tblLines[[#This Row],[matched_amount]]&lt;tblLines[[#This Row],[sg_amount]],ISNUMBER(tblLines[[#This Row],[remitted_date]]),NOT(ISNUMBER(tblLines[[#This Row],[remitted_amount]]))),"partial-match-needs-remitted_amount ","")&amp;IF(AND(ISNUMBER(tblLines[[#This Row],[fund_received_date]]),ISNUMBER(tblLines[[#This Row],[remitted_date]]),tblLines[[#This Row],[fund_received_date]]&lt;tblLines[[#This Row],[remitted_date]]),"receipt-before-remittance ","")&amp;IF(AND(tblLines[[#This Row],[Flag_ooc]]=1,NOT(ISNUMBER(tblLines[[#This Row],[next_standard_payday]]))),"out_of_cycle-needs-next_standard_payday ","")&amp;IF(AND(tblLines[[#This Row],[Flag_ooc]]=1,ISNUMBER(tblLines[[#This Row],[next_standard_payday]]),ISNUMBER(tblLines[[#This Row],[payment_date]]),tblLines[[#This Row],[next_standard_payday]]&lt;=tblLines[[#This Row],[payment_date]]),"next_standard_payday-not-after-payday ",""))</f>
        <v/>
      </c>
      <c r="P4" s="9">
        <f>IF(OR(_xlfn.ISFORMULA(tblLines[[#This Row],[employee_id]]),_xlfn.ISFORMULA(tblLines[[#This Row],[payment_date]]),_xlfn.ISFORMULA(tblLines[[#This Row],[sg_amount]]),_xlfn.ISFORMULA(tblLines[[#This Row],[remitted_date]]),_xlfn.ISFORMULA(tblLines[[#This Row],[remitted_amount]]),_xlfn.ISFORMULA(tblLines[[#This Row],[matched_amount]]),_xlfn.ISFORMULA(tblLines[[#This Row],[fund_received_date]]),_xlfn.ISFORMULA(tblLines[[#This Row],[first_contribution_to_fund]]),_xlfn.ISFORMULA(tblLines[[#This Row],[out_of_cycle]]),_xlfn.ISFORMULA(tblLines[[#This Row],[next_standard_payday]]),_xlfn.ISFORMULA(tblLines[[#This Row],[defined_benefit]])),1,0)</f>
        <v>0</v>
      </c>
      <c r="Q4" s="10">
        <f>IF(ISNUMBER(tblLines[[#This Row],[matched_amount]]),tblLines[[#This Row],[matched_amount]],IF(ISNUMBER(tblLines[[#This Row],[remitted_amount]]),tblLines[[#This Row],[remitted_amount]],tblLines[[#This Row],[sg_amount]]))</f>
        <v>318</v>
      </c>
      <c r="R4" s="11" t="str">
        <f>IF(AND(tblLines[[#This Row],[Flag_ooc]]=1,ISNUMBER(tblLines[[#This Row],[next_standard_payday]])),WORKDAY.INTL(tblLines[[#This Row],[next_standard_payday]],7,1,tblHolidays[date]),"")</f>
        <v/>
      </c>
      <c r="S4" s="11" t="str">
        <f>IF(tblLines[[#This Row],[Flag_ftf]]=1,WORKDAY.INTL(tblLines[[#This Row],[payment_date]],20,1,tblHolidays[date]),"")</f>
        <v/>
      </c>
      <c r="T4" s="11">
        <f>IF(OR(tblLines[[#This Row],[Flag_db]]=1,NOT(ISNUMBER(tblLines[[#This Row],[payment_date]]))),"",IF(OR(tblLines[[#This Row],[Flag_ooc]]=1,tblLines[[#This Row],[Flag_ftf]]=1),MAX(tblLines[[#This Row],[Due_ooc]],tblLines[[#This Row],[Due_ftf]]),WORKDAY.INTL(tblLines[[#This Row],[payment_date]],7,1,tblHolidays[date])))</f>
        <v>46223</v>
      </c>
      <c r="U4" s="9" t="str">
        <f>IF(tblLines[[#This Row],[Flag_db]]=1,"SKIP_DB",IF(tblLines[[#This Row],[Flag_ooc]]=1,IF(AND(tblLines[[#This Row],[Flag_ftf]]=1,tblLines[[#This Row],[Due_ftf]]&gt;tblLines[[#This Row],[Due_ooc]]),"EXTENDED_20BD","OUT_OF_CYCLE"),IF(tblLines[[#This Row],[Flag_ftf]]=1,"EXTENDED_20BD","USUAL_7BD")))</f>
        <v>USUAL_7BD</v>
      </c>
      <c r="V4" s="11">
        <f>IF(ISNUMBER(tblLines[[#This Row],[payment_date]]),EDATE(tblLines[[#This Row],[payment_date]]-1,-12)+1,"")</f>
        <v>45847</v>
      </c>
      <c r="W4" s="11" t="str">
        <f>IF(AND(ISNUMBER(tblLines[[#This Row],[fund_received_date]]),tblLines[[#This Row],[fund_received_date]]&lt;=Summary!$B$2),tblLines[[#This Row],[fund_received_date]],"")</f>
        <v/>
      </c>
      <c r="X4" s="11">
        <f>IF(AND(ISNUMBER(tblLines[[#This Row],[remitted_date]]),tblLines[[#This Row],[remitted_date]]&lt;=Summary!$B$2),tblLines[[#This Row],[remitted_date]],"")</f>
        <v>46218</v>
      </c>
      <c r="Y4" s="10">
        <f>IF(tblLines[[#This Row],[Settled]]&lt;&gt;"",MIN(ROUND(tblLines[[#This Row],[Cap]],2),ROUND(tblLines[[#This Row],[sg_amount]],2)),0)</f>
        <v>0</v>
      </c>
      <c r="Z4" s="10">
        <f>IF(ISNUMBER(tblLines[[#This Row],[remitted_amount]]),IF(tblLines[[#This Row],[Remit]]&lt;&gt;"",MIN(ROUND(tblLines[[#This Row],[remitted_amount]],2),ROUND(tblLines[[#This Row],[sg_amount]],2)),0),IF(tblLines[[#This Row],[Remit]]&lt;&gt;"",ROUND(tblLines[[#This Row],[sg_amount]],2),0))</f>
        <v>318</v>
      </c>
      <c r="AA4" s="9" t="str">
        <f>IF(OR(tblLines[[#This Row],[Own_due]]="",tblLines[[#This Row],[sg_amount]]&lt;=0,tblLines[[#This Row],[Flag_db]]=1,tblLines[[#This Row],[Cap]]&lt;=0),"impossible",IF(ISNUMBER(tblLines[[#This Row],[fund_received_date]]),IF(tblLines[[#This Row],[fund_received_date]]&lt;tblLines[[#This Row],[Earliest_prepay]],"impossible",IF(tblLines[[#This Row],[fund_received_date]]&lt;=Summary!$B$2,IF(OR(tblLines[[#This Row],[fund_received_date]]&lt;tblLines[[#This Row],[payment_date]],tblLines[[#This Row],[fund_received_date]]&lt;=tblLines[[#This Row],[Own_due]]),"confirmed",IF(tblLines[[#This Row],[fund_received_date]]&gt;tblLines[[#This Row],[Own_due]],"impossible","possible")),IF(tblLines[[#This Row],[fund_received_date]]&lt;=tblLines[[#This Row],[Own_due]],"possible","impossible"))),IF(AND(ISNUMBER(tblLines[[#This Row],[remitted_date]]),tblLines[[#This Row],[remitted_date]]&gt;tblLines[[#This Row],[Own_due]]),"impossible","possible")))</f>
        <v>possible</v>
      </c>
      <c r="AB4" s="11">
        <f>IF(OR(tblLines[[#This Row],[Flag_db]]=1,tblLines[[#This Row],[Own_due]]=""),"",_xlfn.MAXIFS(tblLines[Own_due],tblLines[employee_id],tblLines[[#This Row],[employee_id]],tblLines[payment_date],"&lt;"&amp;tblLines[[#This Row],[payment_date]],tblLines[Evidence_own],"confirmed"))</f>
        <v>0</v>
      </c>
      <c r="AC4" s="11">
        <f>IF(OR(tblLines[[#This Row],[Flag_db]]=1,tblLines[[#This Row],[Own_due]]=""),"",_xlfn.MAXIFS(tblLines[Own_due],tblLines[employee_id],tblLines[[#This Row],[employee_id]],tblLines[payment_date],"&lt;"&amp;tblLines[[#This Row],[payment_date]],tblLines[Evidence_own],"&lt;&gt;impossible"))</f>
        <v>0</v>
      </c>
      <c r="AD4" s="11">
        <f>IF(tblLines[[#This Row],[Own_due]]="","",IF(AND(ISNUMBER(tblLines[[#This Row],[Confirmed_latest]]),tblLines[[#This Row],[Confirmed_latest]]&gt;tblLines[[#This Row],[Own_due]]),tblLines[[#This Row],[Confirmed_latest]],tblLines[[#This Row],[Own_due]]))</f>
        <v>46223</v>
      </c>
      <c r="AE4" s="9" t="str">
        <f>IF(tblLines[[#This Row],[Own_due]]="",tblLines[[#This Row],[Own_pathway]],IF(AND(ISNUMBER(tblLines[[#This Row],[Confirmed_latest]]),tblLines[[#This Row],[Confirmed_latest]]&gt;tblLines[[#This Row],[Own_due]]),"ITEM4_ALIGNED",tblLines[[#This Row],[Own_pathway]]))</f>
        <v>USUAL_7BD</v>
      </c>
      <c r="AF4" s="11" t="str">
        <f>IF(tblLines[[#This Row],[Final_due]]="","",IF(AND(ISNUMBER(tblLines[[#This Row],[Possible_latest]]),tblLines[[#This Row],[Possible_latest]]&gt;tblLines[[#This Row],[Final_due]]),tblLines[[#This Row],[Possible_latest]],""))</f>
        <v/>
      </c>
      <c r="AG4" s="9">
        <f>IF(tblLines[[#This Row],[Final_due]]="","",IF((tblLines[[#This Row],[Final_due]]&gt;Summary!$B$6),1,0))</f>
        <v>0</v>
      </c>
      <c r="AH4" s="9" t="str">
        <f>IF(tblLines[[#This Row],[Flag_db]]=1,"DB",IF(tblLines[[#This Row],[Final_due]]="","",IF(tblLines[[#This Row],[sg_amount]]&lt;=0,"NIL",IF(tblLines[[#This Row],[Settled]]&lt;&gt;"",IF(tblLines[[#This Row],[Settled]]&lt;tblLines[[#This Row],[payment_date]],IF(tblLines[[#This Row],[Settled]]&gt;=tblLines[[#This Row],[Earliest_prepay]],IF((tblLines[[#This Row],[Receipt_credit]]&gt;=tblLines[[#This Row],[sg_amount]]),"A1",IF(tblLines[[#This Row],[Final_due]]&gt;=Summary!$B$2,"A2",IF(OR((tblLines[[#This Row],[Final_due]]&gt;Summary!$B$6),AND((tblLines[[#This Row],[Possible_item4]]&lt;&gt;""),Summary!$B$2&lt;=tblLines[[#This Row],[Possible_item4]])),"A3","A4"))),IF(tblLines[[#This Row],[Final_due]]&gt;=Summary!$B$2,"S1",IF(OR((tblLines[[#This Row],[Final_due]]&gt;Summary!$B$6),AND((tblLines[[#This Row],[Possible_item4]]&lt;&gt;""),Summary!$B$2&lt;=tblLines[[#This Row],[Possible_item4]])),"S2","S3"))),IF(AND((tblLines[[#This Row],[Possible_item4]]&lt;&gt;""),tblLines[[#This Row],[Final_due]]&lt;tblLines[[#This Row],[Settled]],tblLines[[#This Row],[Settled]]&lt;=tblLines[[#This Row],[Possible_item4]]),IF((tblLines[[#This Row],[Receipt_credit]]&gt;=tblLines[[#This Row],[sg_amount]]),"B1",IF(Summary!$B$2&lt;=tblLines[[#This Row],[Possible_item4]],"B2","B3")),IF(AND((tblLines[[#This Row],[Final_due]]&gt;Summary!$B$6),tblLines[[#This Row],[Settled]]&gt;tblLines[[#This Row],[Final_due]]),IF((tblLines[[#This Row],[Receipt_credit]]&gt;=tblLines[[#This Row],[sg_amount]]),"C1","C2"),IF(tblLines[[#This Row],[Settled]]&lt;=tblLines[[#This Row],[Final_due]],IF((tblLines[[#This Row],[Receipt_credit]]&gt;=tblLines[[#This Row],[sg_amount]]),"D1",IF(OR((tblLines[[#This Row],[Final_due]]&gt;Summary!$B$6),AND((tblLines[[#This Row],[Possible_item4]]&lt;&gt;""),Summary!$B$2&lt;=tblLines[[#This Row],[Possible_item4]])),"D2",IF(tblLines[[#This Row],[Final_due]]&lt;Summary!$B$2,"D3","D4"))),"E")))),IF(AND(tblLines[[#This Row],[Remit]]&lt;&gt;"",tblLines[[#This Row],[sg_amount]]-tblLines[[#This Row],[Credit]]&lt;=0),IF(AND((tblLines[[#This Row],[Possible_item4]]&lt;&gt;""),tblLines[[#This Row],[Final_due]]&lt;tblLines[[#This Row],[Remit]],tblLines[[#This Row],[Remit]]&lt;=tblLines[[#This Row],[Possible_item4]]),"R1",IF(AND((tblLines[[#This Row],[Final_due]]&gt;Summary!$B$6),tblLines[[#This Row],[Remit]]&gt;tblLines[[#This Row],[Final_due]]),"R2",IF(tblLines[[#This Row],[Remit]]&lt;=tblLines[[#This Row],[Final_due]],"R3","R4"))),IF(tblLines[[#This Row],[Final_due]]&lt;Summary!$B$2,IF(OR((tblLines[[#This Row],[Final_due]]&gt;Summary!$B$6),AND((tblLines[[#This Row],[Possible_item4]]&lt;&gt;""),Summary!$B$2&lt;=tblLines[[#This Row],[Possible_item4]])),"N1","N2"),"N3"))))))</f>
        <v>R3</v>
      </c>
      <c r="AI4" s="9" t="str">
        <f>IF(tblLines[[#This Row],[Branch]]="","",INDEX(tblCodes[verdict],MATCH(tblLines[[#This Row],[Branch]],tblCodes[code],0)))</f>
        <v>AT_RISK</v>
      </c>
      <c r="AJ4" s="9" t="str">
        <f>IF(tblLines[[#This Row],[Branch]]="","",T(INDEX(tblCodes[unassessable],MATCH(tblLines[[#This Row],[Branch]],tblCodes[code],0))))</f>
        <v/>
      </c>
      <c r="AK4" s="9">
        <f>IF(tblLines[[#This Row],[Branch]]="",0,INDEX(tblCodes[exposed],MATCH(tblLines[[#This Row],[Branch]],tblCodes[code],0)))</f>
        <v>0</v>
      </c>
      <c r="AL4" s="9">
        <f>IF(tblLines[[#This Row],[Branch]]="",0,INDEX(tblCodes[stale],MATCH(tblLines[[#This Row],[Branch]],tblCodes[code],0)))</f>
        <v>0</v>
      </c>
      <c r="AM4" s="10">
        <f>IF(tblLines[[#This Row],[Branch]]="",0,INDEX(tblCodes[otrc],MATCH(tblLines[[#This Row],[Branch]],tblCodes[code],0))*tblLines[[#This Row],[Receipt_credit]])</f>
        <v>0</v>
      </c>
      <c r="AN4" s="10" t="str">
        <f>IF((tblLines[[#This Row],[Exposed]]=1),MAX(ROUND(tblLines[[#This Row],[sg_amount]],2)-tblLines[[#This Row],[OTRC]],0),"")</f>
        <v/>
      </c>
      <c r="AO4" s="10" t="str">
        <f>IF((tblLines[[#This Row],[Exposed]]=1),IF(AND(tblLines[[#This Row],[Settled]]&lt;&gt;"",tblLines[[#This Row],[Stale_prepay]]=0,tblLines[[#This Row],[Settled]]&gt;tblLines[[#This Row],[Final_due]],OR(Summary!$B$3="",tblLines[[#This Row],[Settled]]&lt;Summary!$B$3)),MIN(tblLines[[#This Row],[Receipt_credit]],tblLines[[#This Row],[Base_shortfall]]),0),"")</f>
        <v/>
      </c>
      <c r="AP4" s="10" t="str">
        <f>IF((tblLines[[#This Row],[Exposed]]=1),MAX(tblLines[[#This Row],[Base_shortfall]]-tblLines[[#This Row],[Offset_s18D]],0),"")</f>
        <v/>
      </c>
      <c r="AQ4" s="9" t="str">
        <f>IF((tblLines[[#This Row],[Exposed]]=1),IF(AND(tblLines[[#This Row],[Settled]]&lt;&gt;"",tblLines[[#This Row],[Stale_prepay]]=0,(tblLines[[#This Row],[Receipt_credit]]&gt;=tblLines[[#This Row],[sg_amount]])),"fund receipt",IF(AND(tblLines[[#This Row],[Settled]]&lt;&gt;"",tblLines[[#This Row],[Stale_prepay]]=0),"as-at date (shortfall remains after part receipt)",IF(AND(OR(tblLines[[#This Row],[Settled]]&lt;&gt;"",tblLines[[#This Row],[Remit]]&lt;&gt;""),tblLines[[#This Row],[Stale_prepay]]=0),"as-at date (no fund receipt recorded)","as-at date (nothing applied to this payday)"))),"")</f>
        <v/>
      </c>
      <c r="AR4" s="11" t="str">
        <f>IF((tblLines[[#This Row],[Exposed]]=1),IF(AND(tblLines[[#This Row],[Settled]]&lt;&gt;"",tblLines[[#This Row],[Stale_prepay]]=0,(tblLines[[#This Row],[Receipt_credit]]&gt;=tblLines[[#This Row],[sg_amount]])),tblLines[[#This Row],[Settled]],Summary!$B$2),"")</f>
        <v/>
      </c>
      <c r="AS4" s="11" t="str">
        <f>IF((tblLines[[#This Row],[Exposed]]=1),MIN(IF(Summary!$B$3="",DATE(2030,12,31),Summary!$B$3-1),IF(AND(tblLines[[#This Row],[Settled]]&lt;&gt;"",tblLines[[#This Row],[Stale_prepay]]=0,(tblLines[[#This Row],[Receipt_credit]]&gt;=tblLines[[#This Row],[sg_amount]]),tblLines[[#This Row],[Final_shortfall]]=0),tblLines[[#This Row],[Settled]],Summary!$B$2)),"")</f>
        <v/>
      </c>
      <c r="AT4" s="9" t="str">
        <f>IF((tblLines[[#This Row],[Exposed]]=1),IF(tblLines[[#This Row],[Past_horizon]]=1,"",MAX(tblLines[[#This Row],[Outstanding_to]]-tblLines[[#This Row],[Final_due]],0)),"")</f>
        <v/>
      </c>
      <c r="AU4" s="10" t="str">
        <f>IF((tblLines[[#This Row],[Exposed]]=1),IF(tblLines[[#This Row],[NEC_end]]&gt;tblLines[[#This Row],[Final_due]],tblLines[[#This Row],[Base_shortfall]]*(EXP(SUMPRODUCT((((((tblLines[[#This Row],[NEC_end]]+tblGic[to]-ABS(tblLines[[#This Row],[NEC_end]]-tblGic[to]))/2)-(((tblLines[[#This Row],[Final_due]]+1)+tblGic[from]+ABS((tblLines[[#This Row],[Final_due]]+1)-tblGic[from]))/2)+1)&gt;0)*(((tblLines[[#This Row],[NEC_end]]+tblGic[to]-ABS(tblLines[[#This Row],[NEC_end]]-tblGic[to]))/2)-(((tblLines[[#This Row],[Final_due]]+1)+tblGic[from]+ABS((tblLines[[#This Row],[Final_due]]+1)-tblGic[from]))/2)+1))*LN(1+tblGic[annual_pct]/100/tblGic[divisor])))-1),0),"")</f>
        <v/>
      </c>
      <c r="AV4" s="9" t="str">
        <f>IF((tblLines[[#This Row],[Exposed]]=1),IF(tblLines[[#This Row],[NEC_end]]&gt;Summary!$B$7,1,0),"")</f>
        <v/>
      </c>
      <c r="AW4" s="10" t="str">
        <f>IF((tblLines[[#This Row],[Exposed]]=1),ROUND(tblLines[[#This Row],[Final_shortfall]],2),"")</f>
        <v/>
      </c>
      <c r="AX4" s="10" t="str">
        <f>IF((tblLines[[#This Row],[Exposed]]=1),ROUND(tblLines[[#This Row],[NEC]],2),"")</f>
        <v/>
      </c>
      <c r="AY4" s="10" t="str">
        <f>IF((tblLines[[#This Row],[Exposed]]=1),0,"")</f>
        <v/>
      </c>
      <c r="AZ4" s="10" t="str">
        <f>IF((tblLines[[#This Row],[Exposed]]=1),ROUND(0.6*(tblLines[[#This Row],[Final_shortfall]]+tblLines[[#This Row],[NEC]]),2),"")</f>
        <v/>
      </c>
      <c r="BA4" s="10" t="str">
        <f>IF((tblLines[[#This Row],[Exposed]]=1),tblLines[[#This Row],[Shortfall_r]]+tblLines[[#This Row],[NEC_r]]+tblLines[[#This Row],[Uplift_best]],"")</f>
        <v/>
      </c>
      <c r="BB4" s="10" t="str">
        <f>IF((tblLines[[#This Row],[Exposed]]=1),tblLines[[#This Row],[Shortfall_r]]+tblLines[[#This Row],[NEC_r]]+tblLines[[#This Row],[Uplift_worst]],"")</f>
        <v/>
      </c>
      <c r="BC4" s="9">
        <f>IF(AND(tblLines[[#This Row],[Flag_db]]&lt;&gt;1,ISNUMBER(tblLines[[#This Row],[sg_amount]]),tblLines[[#This Row],[sg_amount]]&gt;0,tblLines[[#This Row],[Cap]]&gt;0,OR(ISNUMBER(tblLines[[#This Row],[fund_received_date]]),ISNUMBER(tblLines[[#This Row],[remitted_date]])),IF(ISNUMBER(tblLines[[#This Row],[fund_received_date]]),tblLines[[#This Row],[fund_received_date]],tblLines[[#This Row],[remitted_date]])&lt;=DATE(2026,7,28)),1,0)</f>
        <v>1</v>
      </c>
      <c r="BD4" s="9">
        <f>IF(tblLines[[#This Row],[Settled]]&lt;&gt;"",1,0)</f>
        <v>0</v>
      </c>
      <c r="BE4" s="9">
        <f>IF(AND(tblLines[[#This Row],[Verdict]]&lt;&gt;"",tblLines[[#This Row],[Verdict]]&lt;&gt;"SKIPPED",ISNUMBER(tblLines[[#This Row],[sg_amount]]),tblLines[[#This Row],[sg_amount]]&gt;0),1,0)</f>
        <v>1</v>
      </c>
      <c r="BF4" s="9">
        <f>IF(COUNTIFS(tblLines[employee_id],tblLines[[#This Row],[employee_id]],tblLines[payment_date],tblLines[[#This Row],[payment_date]],tblLines[sg_amount],tblLines[[#This Row],[sg_amount]],tblLines[remitted_date],tblLines[[#This Row],[remitted_date]]&amp;"",tblLines[fund_received_date],tblLines[[#This Row],[fund_received_date]]&amp;"")&gt;1,1,0)</f>
        <v>0</v>
      </c>
    </row>
    <row r="5" spans="1:58" x14ac:dyDescent="0.25">
      <c r="A5" s="6" t="s">
        <v>71</v>
      </c>
      <c r="B5" s="7">
        <v>46212</v>
      </c>
      <c r="C5" s="8">
        <v>780</v>
      </c>
      <c r="D5" s="7"/>
      <c r="E5" s="8"/>
      <c r="F5" s="8"/>
      <c r="G5" s="7"/>
      <c r="H5" s="6" t="s">
        <v>68</v>
      </c>
      <c r="I5" s="6" t="s">
        <v>68</v>
      </c>
      <c r="J5" s="7"/>
      <c r="K5" s="6" t="s">
        <v>68</v>
      </c>
      <c r="L5" s="9">
        <f>IF(OR(LOWER(TRIM(tblLines[[#This Row],[defined_benefit]]&amp;""))={"1","t","true","y","yes"}),1,IF(OR(LOWER(TRIM(tblLines[[#This Row],[defined_benefit]]&amp;""))={"","0","f","false","n","no"}),0,""))</f>
        <v>0</v>
      </c>
      <c r="M5" s="9">
        <f>IF(OR(LOWER(TRIM(tblLines[[#This Row],[out_of_cycle]]&amp;""))={"1","t","true","y","yes"}),1,IF(OR(LOWER(TRIM(tblLines[[#This Row],[out_of_cycle]]&amp;""))={"","0","f","false","n","no"}),0,""))</f>
        <v>0</v>
      </c>
      <c r="N5" s="9">
        <f>IF(OR(LOWER(TRIM(tblLines[[#This Row],[first_contribution_to_fund]]&amp;""))={"1","t","true","y","yes"}),1,IF(OR(LOWER(TRIM(tblLines[[#This Row],[first_contribution_to_fund]]&amp;""))={"","0","f","false","n","no"}),0,""))</f>
        <v>0</v>
      </c>
      <c r="O5" s="9" t="str">
        <f>TRIM(IF(OR(AND(tblLines[[#This Row],[payment_date]]&lt;&gt;"",NOT(ISNUMBER(tblLines[[#This Row],[payment_date]]))),AND(tblLines[[#This Row],[remitted_date]]&lt;&gt;"",NOT(ISNUMBER(tblLines[[#This Row],[remitted_date]]))),AND(tblLines[[#This Row],[fund_received_date]]&lt;&gt;"",NOT(ISNUMBER(tblLines[[#This Row],[fund_received_date]]))),AND(tblLines[[#This Row],[next_standard_payday]]&lt;&gt;"",NOT(ISNUMBER(tblLines[[#This Row],[next_standard_payday]])))),"date ","")&amp;IF(NOT(ISNUMBER(tblLines[[#This Row],[payment_date]])),"payment_date ","")&amp;IF(AND(ISNUMBER(tblLines[[#This Row],[payment_date]]),tblLines[[#This Row],[payment_date]]&lt;DATE(2026,7,1)),"pre-1-Jul-2026 ","")&amp;IF(OR(AND(tblLines[[#This Row],[sg_amount]]&lt;&gt;"",OR(NOT(ISNUMBER(tblLines[[#This Row],[sg_amount]])),tblLines[[#This Row],[sg_amount]]&lt;0)),AND(tblLines[[#This Row],[remitted_amount]]&lt;&gt;"",OR(NOT(ISNUMBER(tblLines[[#This Row],[remitted_amount]])),tblLines[[#This Row],[remitted_amount]]&lt;0)),AND(tblLines[[#This Row],[matched_amount]]&lt;&gt;"",OR(NOT(ISNUMBER(tblLines[[#This Row],[matched_amount]])),tblLines[[#This Row],[matched_amount]]&lt;0))),"amount ","")&amp;IF(NOT(ISNUMBER(tblLines[[#This Row],[sg_amount]])),"sg_amount ","")&amp;IF(OR(tblLines[[#This Row],[Flag_ftf]]="",tblLines[[#This Row],[Flag_ooc]]="",tblLines[[#This Row],[Flag_db]]=""),"yes/no ","")&amp;IF(AND(ISNUMBER(tblLines[[#This Row],[remitted_amount]]),ISNUMBER(tblLines[[#This Row],[sg_amount]]),tblLines[[#This Row],[remitted_amount]]&gt;tblLines[[#This Row],[sg_amount]]),"remitted_amount&gt;sg ","")&amp;IF(AND(ISNUMBER(tblLines[[#This Row],[remitted_amount]]),NOT(ISNUMBER(tblLines[[#This Row],[remitted_date]]))),"remitted_amount-needs-date ","")&amp;IF(AND(ISNUMBER(tblLines[[#This Row],[matched_amount]]),ISNUMBER(tblLines[[#This Row],[sg_amount]]),tblLines[[#This Row],[matched_amount]]&gt;tblLines[[#This Row],[sg_amount]]),"matched_amount&gt;sg ","")&amp;IF(AND(ISNUMBER(tblLines[[#This Row],[matched_amount]]),ISNUMBER(tblLines[[#This Row],[remitted_amount]]),tblLines[[#This Row],[remitted_amount]]&gt;tblLines[[#This Row],[matched_amount]]),"remitted_amount&gt;matched ","")&amp;IF(AND(ISNUMBER(tblLines[[#This Row],[matched_amount]]),ISNUMBER(tblLines[[#This Row],[sg_amount]]),tblLines[[#This Row],[matched_amount]]&lt;tblLines[[#This Row],[sg_amount]],ISNUMBER(tblLines[[#This Row],[remitted_date]]),NOT(ISNUMBER(tblLines[[#This Row],[remitted_amount]]))),"partial-match-needs-remitted_amount ","")&amp;IF(AND(ISNUMBER(tblLines[[#This Row],[fund_received_date]]),ISNUMBER(tblLines[[#This Row],[remitted_date]]),tblLines[[#This Row],[fund_received_date]]&lt;tblLines[[#This Row],[remitted_date]]),"receipt-before-remittance ","")&amp;IF(AND(tblLines[[#This Row],[Flag_ooc]]=1,NOT(ISNUMBER(tblLines[[#This Row],[next_standard_payday]]))),"out_of_cycle-needs-next_standard_payday ","")&amp;IF(AND(tblLines[[#This Row],[Flag_ooc]]=1,ISNUMBER(tblLines[[#This Row],[next_standard_payday]]),ISNUMBER(tblLines[[#This Row],[payment_date]]),tblLines[[#This Row],[next_standard_payday]]&lt;=tblLines[[#This Row],[payment_date]]),"next_standard_payday-not-after-payday ",""))</f>
        <v/>
      </c>
      <c r="P5" s="9">
        <f>IF(OR(_xlfn.ISFORMULA(tblLines[[#This Row],[employee_id]]),_xlfn.ISFORMULA(tblLines[[#This Row],[payment_date]]),_xlfn.ISFORMULA(tblLines[[#This Row],[sg_amount]]),_xlfn.ISFORMULA(tblLines[[#This Row],[remitted_date]]),_xlfn.ISFORMULA(tblLines[[#This Row],[remitted_amount]]),_xlfn.ISFORMULA(tblLines[[#This Row],[matched_amount]]),_xlfn.ISFORMULA(tblLines[[#This Row],[fund_received_date]]),_xlfn.ISFORMULA(tblLines[[#This Row],[first_contribution_to_fund]]),_xlfn.ISFORMULA(tblLines[[#This Row],[out_of_cycle]]),_xlfn.ISFORMULA(tblLines[[#This Row],[next_standard_payday]]),_xlfn.ISFORMULA(tblLines[[#This Row],[defined_benefit]])),1,0)</f>
        <v>0</v>
      </c>
      <c r="Q5" s="10">
        <f>IF(ISNUMBER(tblLines[[#This Row],[matched_amount]]),tblLines[[#This Row],[matched_amount]],IF(ISNUMBER(tblLines[[#This Row],[remitted_amount]]),tblLines[[#This Row],[remitted_amount]],tblLines[[#This Row],[sg_amount]]))</f>
        <v>780</v>
      </c>
      <c r="R5" s="11" t="str">
        <f>IF(AND(tblLines[[#This Row],[Flag_ooc]]=1,ISNUMBER(tblLines[[#This Row],[next_standard_payday]])),WORKDAY.INTL(tblLines[[#This Row],[next_standard_payday]],7,1,tblHolidays[date]),"")</f>
        <v/>
      </c>
      <c r="S5" s="11" t="str">
        <f>IF(tblLines[[#This Row],[Flag_ftf]]=1,WORKDAY.INTL(tblLines[[#This Row],[payment_date]],20,1,tblHolidays[date]),"")</f>
        <v/>
      </c>
      <c r="T5" s="11">
        <f>IF(OR(tblLines[[#This Row],[Flag_db]]=1,NOT(ISNUMBER(tblLines[[#This Row],[payment_date]]))),"",IF(OR(tblLines[[#This Row],[Flag_ooc]]=1,tblLines[[#This Row],[Flag_ftf]]=1),MAX(tblLines[[#This Row],[Due_ooc]],tblLines[[#This Row],[Due_ftf]]),WORKDAY.INTL(tblLines[[#This Row],[payment_date]],7,1,tblHolidays[date])))</f>
        <v>46223</v>
      </c>
      <c r="U5" s="9" t="str">
        <f>IF(tblLines[[#This Row],[Flag_db]]=1,"SKIP_DB",IF(tblLines[[#This Row],[Flag_ooc]]=1,IF(AND(tblLines[[#This Row],[Flag_ftf]]=1,tblLines[[#This Row],[Due_ftf]]&gt;tblLines[[#This Row],[Due_ooc]]),"EXTENDED_20BD","OUT_OF_CYCLE"),IF(tblLines[[#This Row],[Flag_ftf]]=1,"EXTENDED_20BD","USUAL_7BD")))</f>
        <v>USUAL_7BD</v>
      </c>
      <c r="V5" s="11">
        <f>IF(ISNUMBER(tblLines[[#This Row],[payment_date]]),EDATE(tblLines[[#This Row],[payment_date]]-1,-12)+1,"")</f>
        <v>45847</v>
      </c>
      <c r="W5" s="11" t="str">
        <f>IF(AND(ISNUMBER(tblLines[[#This Row],[fund_received_date]]),tblLines[[#This Row],[fund_received_date]]&lt;=Summary!$B$2),tblLines[[#This Row],[fund_received_date]],"")</f>
        <v/>
      </c>
      <c r="X5" s="11" t="str">
        <f>IF(AND(ISNUMBER(tblLines[[#This Row],[remitted_date]]),tblLines[[#This Row],[remitted_date]]&lt;=Summary!$B$2),tblLines[[#This Row],[remitted_date]],"")</f>
        <v/>
      </c>
      <c r="Y5" s="10">
        <f>IF(tblLines[[#This Row],[Settled]]&lt;&gt;"",MIN(ROUND(tblLines[[#This Row],[Cap]],2),ROUND(tblLines[[#This Row],[sg_amount]],2)),0)</f>
        <v>0</v>
      </c>
      <c r="Z5" s="10">
        <f>IF(ISNUMBER(tblLines[[#This Row],[remitted_amount]]),IF(tblLines[[#This Row],[Remit]]&lt;&gt;"",MIN(ROUND(tblLines[[#This Row],[remitted_amount]],2),ROUND(tblLines[[#This Row],[sg_amount]],2)),0),IF(tblLines[[#This Row],[Remit]]&lt;&gt;"",ROUND(tblLines[[#This Row],[sg_amount]],2),0))</f>
        <v>0</v>
      </c>
      <c r="AA5" s="9" t="str">
        <f>IF(OR(tblLines[[#This Row],[Own_due]]="",tblLines[[#This Row],[sg_amount]]&lt;=0,tblLines[[#This Row],[Flag_db]]=1,tblLines[[#This Row],[Cap]]&lt;=0),"impossible",IF(ISNUMBER(tblLines[[#This Row],[fund_received_date]]),IF(tblLines[[#This Row],[fund_received_date]]&lt;tblLines[[#This Row],[Earliest_prepay]],"impossible",IF(tblLines[[#This Row],[fund_received_date]]&lt;=Summary!$B$2,IF(OR(tblLines[[#This Row],[fund_received_date]]&lt;tblLines[[#This Row],[payment_date]],tblLines[[#This Row],[fund_received_date]]&lt;=tblLines[[#This Row],[Own_due]]),"confirmed",IF(tblLines[[#This Row],[fund_received_date]]&gt;tblLines[[#This Row],[Own_due]],"impossible","possible")),IF(tblLines[[#This Row],[fund_received_date]]&lt;=tblLines[[#This Row],[Own_due]],"possible","impossible"))),IF(AND(ISNUMBER(tblLines[[#This Row],[remitted_date]]),tblLines[[#This Row],[remitted_date]]&gt;tblLines[[#This Row],[Own_due]]),"impossible","possible")))</f>
        <v>possible</v>
      </c>
      <c r="AB5" s="11">
        <f>IF(OR(tblLines[[#This Row],[Flag_db]]=1,tblLines[[#This Row],[Own_due]]=""),"",_xlfn.MAXIFS(tblLines[Own_due],tblLines[employee_id],tblLines[[#This Row],[employee_id]],tblLines[payment_date],"&lt;"&amp;tblLines[[#This Row],[payment_date]],tblLines[Evidence_own],"confirmed"))</f>
        <v>0</v>
      </c>
      <c r="AC5" s="11">
        <f>IF(OR(tblLines[[#This Row],[Flag_db]]=1,tblLines[[#This Row],[Own_due]]=""),"",_xlfn.MAXIFS(tblLines[Own_due],tblLines[employee_id],tblLines[[#This Row],[employee_id]],tblLines[payment_date],"&lt;"&amp;tblLines[[#This Row],[payment_date]],tblLines[Evidence_own],"&lt;&gt;impossible"))</f>
        <v>0</v>
      </c>
      <c r="AD5" s="11">
        <f>IF(tblLines[[#This Row],[Own_due]]="","",IF(AND(ISNUMBER(tblLines[[#This Row],[Confirmed_latest]]),tblLines[[#This Row],[Confirmed_latest]]&gt;tblLines[[#This Row],[Own_due]]),tblLines[[#This Row],[Confirmed_latest]],tblLines[[#This Row],[Own_due]]))</f>
        <v>46223</v>
      </c>
      <c r="AE5" s="9" t="str">
        <f>IF(tblLines[[#This Row],[Own_due]]="",tblLines[[#This Row],[Own_pathway]],IF(AND(ISNUMBER(tblLines[[#This Row],[Confirmed_latest]]),tblLines[[#This Row],[Confirmed_latest]]&gt;tblLines[[#This Row],[Own_due]]),"ITEM4_ALIGNED",tblLines[[#This Row],[Own_pathway]]))</f>
        <v>USUAL_7BD</v>
      </c>
      <c r="AF5" s="11" t="str">
        <f>IF(tblLines[[#This Row],[Final_due]]="","",IF(AND(ISNUMBER(tblLines[[#This Row],[Possible_latest]]),tblLines[[#This Row],[Possible_latest]]&gt;tblLines[[#This Row],[Final_due]]),tblLines[[#This Row],[Possible_latest]],""))</f>
        <v/>
      </c>
      <c r="AG5" s="9">
        <f>IF(tblLines[[#This Row],[Final_due]]="","",IF((tblLines[[#This Row],[Final_due]]&gt;Summary!$B$6),1,0))</f>
        <v>0</v>
      </c>
      <c r="AH5" s="9" t="str">
        <f>IF(tblLines[[#This Row],[Flag_db]]=1,"DB",IF(tblLines[[#This Row],[Final_due]]="","",IF(tblLines[[#This Row],[sg_amount]]&lt;=0,"NIL",IF(tblLines[[#This Row],[Settled]]&lt;&gt;"",IF(tblLines[[#This Row],[Settled]]&lt;tblLines[[#This Row],[payment_date]],IF(tblLines[[#This Row],[Settled]]&gt;=tblLines[[#This Row],[Earliest_prepay]],IF((tblLines[[#This Row],[Receipt_credit]]&gt;=tblLines[[#This Row],[sg_amount]]),"A1",IF(tblLines[[#This Row],[Final_due]]&gt;=Summary!$B$2,"A2",IF(OR((tblLines[[#This Row],[Final_due]]&gt;Summary!$B$6),AND((tblLines[[#This Row],[Possible_item4]]&lt;&gt;""),Summary!$B$2&lt;=tblLines[[#This Row],[Possible_item4]])),"A3","A4"))),IF(tblLines[[#This Row],[Final_due]]&gt;=Summary!$B$2,"S1",IF(OR((tblLines[[#This Row],[Final_due]]&gt;Summary!$B$6),AND((tblLines[[#This Row],[Possible_item4]]&lt;&gt;""),Summary!$B$2&lt;=tblLines[[#This Row],[Possible_item4]])),"S2","S3"))),IF(AND((tblLines[[#This Row],[Possible_item4]]&lt;&gt;""),tblLines[[#This Row],[Final_due]]&lt;tblLines[[#This Row],[Settled]],tblLines[[#This Row],[Settled]]&lt;=tblLines[[#This Row],[Possible_item4]]),IF((tblLines[[#This Row],[Receipt_credit]]&gt;=tblLines[[#This Row],[sg_amount]]),"B1",IF(Summary!$B$2&lt;=tblLines[[#This Row],[Possible_item4]],"B2","B3")),IF(AND((tblLines[[#This Row],[Final_due]]&gt;Summary!$B$6),tblLines[[#This Row],[Settled]]&gt;tblLines[[#This Row],[Final_due]]),IF((tblLines[[#This Row],[Receipt_credit]]&gt;=tblLines[[#This Row],[sg_amount]]),"C1","C2"),IF(tblLines[[#This Row],[Settled]]&lt;=tblLines[[#This Row],[Final_due]],IF((tblLines[[#This Row],[Receipt_credit]]&gt;=tblLines[[#This Row],[sg_amount]]),"D1",IF(OR((tblLines[[#This Row],[Final_due]]&gt;Summary!$B$6),AND((tblLines[[#This Row],[Possible_item4]]&lt;&gt;""),Summary!$B$2&lt;=tblLines[[#This Row],[Possible_item4]])),"D2",IF(tblLines[[#This Row],[Final_due]]&lt;Summary!$B$2,"D3","D4"))),"E")))),IF(AND(tblLines[[#This Row],[Remit]]&lt;&gt;"",tblLines[[#This Row],[sg_amount]]-tblLines[[#This Row],[Credit]]&lt;=0),IF(AND((tblLines[[#This Row],[Possible_item4]]&lt;&gt;""),tblLines[[#This Row],[Final_due]]&lt;tblLines[[#This Row],[Remit]],tblLines[[#This Row],[Remit]]&lt;=tblLines[[#This Row],[Possible_item4]]),"R1",IF(AND((tblLines[[#This Row],[Final_due]]&gt;Summary!$B$6),tblLines[[#This Row],[Remit]]&gt;tblLines[[#This Row],[Final_due]]),"R2",IF(tblLines[[#This Row],[Remit]]&lt;=tblLines[[#This Row],[Final_due]],"R3","R4"))),IF(tblLines[[#This Row],[Final_due]]&lt;Summary!$B$2,IF(OR((tblLines[[#This Row],[Final_due]]&gt;Summary!$B$6),AND((tblLines[[#This Row],[Possible_item4]]&lt;&gt;""),Summary!$B$2&lt;=tblLines[[#This Row],[Possible_item4]])),"N1","N2"),"N3"))))))</f>
        <v>N2</v>
      </c>
      <c r="AI5" s="9" t="str">
        <f>IF(tblLines[[#This Row],[Branch]]="","",INDEX(tblCodes[verdict],MATCH(tblLines[[#This Row],[Branch]],tblCodes[code],0)))</f>
        <v>UNPAID</v>
      </c>
      <c r="AJ5" s="9" t="str">
        <f>IF(tblLines[[#This Row],[Branch]]="","",T(INDEX(tblCodes[unassessable],MATCH(tblLines[[#This Row],[Branch]],tblCodes[code],0))))</f>
        <v/>
      </c>
      <c r="AK5" s="9">
        <f>IF(tblLines[[#This Row],[Branch]]="",0,INDEX(tblCodes[exposed],MATCH(tblLines[[#This Row],[Branch]],tblCodes[code],0)))</f>
        <v>1</v>
      </c>
      <c r="AL5" s="9">
        <f>IF(tblLines[[#This Row],[Branch]]="",0,INDEX(tblCodes[stale],MATCH(tblLines[[#This Row],[Branch]],tblCodes[code],0)))</f>
        <v>0</v>
      </c>
      <c r="AM5" s="10">
        <f>IF(tblLines[[#This Row],[Branch]]="",0,INDEX(tblCodes[otrc],MATCH(tblLines[[#This Row],[Branch]],tblCodes[code],0))*tblLines[[#This Row],[Receipt_credit]])</f>
        <v>0</v>
      </c>
      <c r="AN5" s="10">
        <f>IF((tblLines[[#This Row],[Exposed]]=1),MAX(ROUND(tblLines[[#This Row],[sg_amount]],2)-tblLines[[#This Row],[OTRC]],0),"")</f>
        <v>780</v>
      </c>
      <c r="AO5" s="10">
        <f>IF((tblLines[[#This Row],[Exposed]]=1),IF(AND(tblLines[[#This Row],[Settled]]&lt;&gt;"",tblLines[[#This Row],[Stale_prepay]]=0,tblLines[[#This Row],[Settled]]&gt;tblLines[[#This Row],[Final_due]],OR(Summary!$B$3="",tblLines[[#This Row],[Settled]]&lt;Summary!$B$3)),MIN(tblLines[[#This Row],[Receipt_credit]],tblLines[[#This Row],[Base_shortfall]]),0),"")</f>
        <v>0</v>
      </c>
      <c r="AP5" s="10">
        <f>IF((tblLines[[#This Row],[Exposed]]=1),MAX(tblLines[[#This Row],[Base_shortfall]]-tblLines[[#This Row],[Offset_s18D]],0),"")</f>
        <v>780</v>
      </c>
      <c r="AQ5" s="9" t="str">
        <f>IF((tblLines[[#This Row],[Exposed]]=1),IF(AND(tblLines[[#This Row],[Settled]]&lt;&gt;"",tblLines[[#This Row],[Stale_prepay]]=0,(tblLines[[#This Row],[Receipt_credit]]&gt;=tblLines[[#This Row],[sg_amount]])),"fund receipt",IF(AND(tblLines[[#This Row],[Settled]]&lt;&gt;"",tblLines[[#This Row],[Stale_prepay]]=0),"as-at date (shortfall remains after part receipt)",IF(AND(OR(tblLines[[#This Row],[Settled]]&lt;&gt;"",tblLines[[#This Row],[Remit]]&lt;&gt;""),tblLines[[#This Row],[Stale_prepay]]=0),"as-at date (no fund receipt recorded)","as-at date (nothing applied to this payday)"))),"")</f>
        <v>as-at date (nothing applied to this payday)</v>
      </c>
      <c r="AR5" s="11">
        <f>IF((tblLines[[#This Row],[Exposed]]=1),IF(AND(tblLines[[#This Row],[Settled]]&lt;&gt;"",tblLines[[#This Row],[Stale_prepay]]=0,(tblLines[[#This Row],[Receipt_credit]]&gt;=tblLines[[#This Row],[sg_amount]])),tblLines[[#This Row],[Settled]],Summary!$B$2),"")</f>
        <v>46244</v>
      </c>
      <c r="AS5" s="11">
        <f>IF((tblLines[[#This Row],[Exposed]]=1),MIN(IF(Summary!$B$3="",DATE(2030,12,31),Summary!$B$3-1),IF(AND(tblLines[[#This Row],[Settled]]&lt;&gt;"",tblLines[[#This Row],[Stale_prepay]]=0,(tblLines[[#This Row],[Receipt_credit]]&gt;=tblLines[[#This Row],[sg_amount]]),tblLines[[#This Row],[Final_shortfall]]=0),tblLines[[#This Row],[Settled]],Summary!$B$2)),"")</f>
        <v>46244</v>
      </c>
      <c r="AT5" s="9">
        <f>IF((tblLines[[#This Row],[Exposed]]=1),IF(tblLines[[#This Row],[Past_horizon]]=1,"",MAX(tblLines[[#This Row],[Outstanding_to]]-tblLines[[#This Row],[Final_due]],0)),"")</f>
        <v>21</v>
      </c>
      <c r="AU5" s="10">
        <f>IF((tblLines[[#This Row],[Exposed]]=1),IF(tblLines[[#This Row],[NEC_end]]&gt;tblLines[[#This Row],[Final_due]],tblLines[[#This Row],[Base_shortfall]]*(EXP(SUMPRODUCT((((((tblLines[[#This Row],[NEC_end]]+tblGic[to]-ABS(tblLines[[#This Row],[NEC_end]]-tblGic[to]))/2)-(((tblLines[[#This Row],[Final_due]]+1)+tblGic[from]+ABS((tblLines[[#This Row],[Final_due]]+1)-tblGic[from]))/2)+1)&gt;0)*(((tblLines[[#This Row],[NEC_end]]+tblGic[to]-ABS(tblLines[[#This Row],[NEC_end]]-tblGic[to]))/2)-(((tblLines[[#This Row],[Final_due]]+1)+tblGic[from]+ABS((tblLines[[#This Row],[Final_due]]+1)-tblGic[from]))/2)+1))*LN(1+tblGic[annual_pct]/100/tblGic[divisor])))-1),0),"")</f>
        <v>5.1455028981957529</v>
      </c>
      <c r="AV5" s="9">
        <f>IF((tblLines[[#This Row],[Exposed]]=1),IF(tblLines[[#This Row],[NEC_end]]&gt;Summary!$B$7,1,0),"")</f>
        <v>0</v>
      </c>
      <c r="AW5" s="10">
        <f>IF((tblLines[[#This Row],[Exposed]]=1),ROUND(tblLines[[#This Row],[Final_shortfall]],2),"")</f>
        <v>780</v>
      </c>
      <c r="AX5" s="10">
        <f>IF((tblLines[[#This Row],[Exposed]]=1),ROUND(tblLines[[#This Row],[NEC]],2),"")</f>
        <v>5.15</v>
      </c>
      <c r="AY5" s="10">
        <f>IF((tblLines[[#This Row],[Exposed]]=1),0,"")</f>
        <v>0</v>
      </c>
      <c r="AZ5" s="10">
        <f>IF((tblLines[[#This Row],[Exposed]]=1),ROUND(0.6*(tblLines[[#This Row],[Final_shortfall]]+tblLines[[#This Row],[NEC]]),2),"")</f>
        <v>471.09</v>
      </c>
      <c r="BA5" s="10">
        <f>IF((tblLines[[#This Row],[Exposed]]=1),tblLines[[#This Row],[Shortfall_r]]+tblLines[[#This Row],[NEC_r]]+tblLines[[#This Row],[Uplift_best]],"")</f>
        <v>785.15</v>
      </c>
      <c r="BB5" s="10">
        <f>IF((tblLines[[#This Row],[Exposed]]=1),tblLines[[#This Row],[Shortfall_r]]+tblLines[[#This Row],[NEC_r]]+tblLines[[#This Row],[Uplift_worst]],"")</f>
        <v>1256.24</v>
      </c>
      <c r="BC5" s="9">
        <f>IF(AND(tblLines[[#This Row],[Flag_db]]&lt;&gt;1,ISNUMBER(tblLines[[#This Row],[sg_amount]]),tblLines[[#This Row],[sg_amount]]&gt;0,tblLines[[#This Row],[Cap]]&gt;0,OR(ISNUMBER(tblLines[[#This Row],[fund_received_date]]),ISNUMBER(tblLines[[#This Row],[remitted_date]])),IF(ISNUMBER(tblLines[[#This Row],[fund_received_date]]),tblLines[[#This Row],[fund_received_date]],tblLines[[#This Row],[remitted_date]])&lt;=DATE(2026,7,28)),1,0)</f>
        <v>0</v>
      </c>
      <c r="BD5" s="9">
        <f>IF(tblLines[[#This Row],[Settled]]&lt;&gt;"",1,0)</f>
        <v>0</v>
      </c>
      <c r="BE5" s="9">
        <f>IF(AND(tblLines[[#This Row],[Verdict]]&lt;&gt;"",tblLines[[#This Row],[Verdict]]&lt;&gt;"SKIPPED",ISNUMBER(tblLines[[#This Row],[sg_amount]]),tblLines[[#This Row],[sg_amount]]&gt;0),1,0)</f>
        <v>1</v>
      </c>
      <c r="BF5" s="9">
        <f>IF(COUNTIFS(tblLines[employee_id],tblLines[[#This Row],[employee_id]],tblLines[payment_date],tblLines[[#This Row],[payment_date]],tblLines[sg_amount],tblLines[[#This Row],[sg_amount]],tblLines[remitted_date],tblLines[[#This Row],[remitted_date]]&amp;"",tblLines[fund_received_date],tblLines[[#This Row],[fund_received_date]]&amp;"")&gt;1,1,0)</f>
        <v>0</v>
      </c>
    </row>
    <row r="6" spans="1:58" x14ac:dyDescent="0.25">
      <c r="A6" s="6" t="s">
        <v>72</v>
      </c>
      <c r="B6" s="7">
        <v>46212</v>
      </c>
      <c r="C6" s="8">
        <v>450</v>
      </c>
      <c r="D6" s="7">
        <v>46237</v>
      </c>
      <c r="E6" s="8"/>
      <c r="F6" s="8"/>
      <c r="G6" s="7">
        <v>46239</v>
      </c>
      <c r="H6" s="6" t="s">
        <v>73</v>
      </c>
      <c r="I6" s="6" t="s">
        <v>68</v>
      </c>
      <c r="J6" s="7"/>
      <c r="K6" s="6" t="s">
        <v>68</v>
      </c>
      <c r="L6" s="9">
        <f>IF(OR(LOWER(TRIM(tblLines[[#This Row],[defined_benefit]]&amp;""))={"1","t","true","y","yes"}),1,IF(OR(LOWER(TRIM(tblLines[[#This Row],[defined_benefit]]&amp;""))={"","0","f","false","n","no"}),0,""))</f>
        <v>0</v>
      </c>
      <c r="M6" s="9">
        <f>IF(OR(LOWER(TRIM(tblLines[[#This Row],[out_of_cycle]]&amp;""))={"1","t","true","y","yes"}),1,IF(OR(LOWER(TRIM(tblLines[[#This Row],[out_of_cycle]]&amp;""))={"","0","f","false","n","no"}),0,""))</f>
        <v>0</v>
      </c>
      <c r="N6" s="9">
        <f>IF(OR(LOWER(TRIM(tblLines[[#This Row],[first_contribution_to_fund]]&amp;""))={"1","t","true","y","yes"}),1,IF(OR(LOWER(TRIM(tblLines[[#This Row],[first_contribution_to_fund]]&amp;""))={"","0","f","false","n","no"}),0,""))</f>
        <v>1</v>
      </c>
      <c r="O6" s="9" t="str">
        <f>TRIM(IF(OR(AND(tblLines[[#This Row],[payment_date]]&lt;&gt;"",NOT(ISNUMBER(tblLines[[#This Row],[payment_date]]))),AND(tblLines[[#This Row],[remitted_date]]&lt;&gt;"",NOT(ISNUMBER(tblLines[[#This Row],[remitted_date]]))),AND(tblLines[[#This Row],[fund_received_date]]&lt;&gt;"",NOT(ISNUMBER(tblLines[[#This Row],[fund_received_date]]))),AND(tblLines[[#This Row],[next_standard_payday]]&lt;&gt;"",NOT(ISNUMBER(tblLines[[#This Row],[next_standard_payday]])))),"date ","")&amp;IF(NOT(ISNUMBER(tblLines[[#This Row],[payment_date]])),"payment_date ","")&amp;IF(AND(ISNUMBER(tblLines[[#This Row],[payment_date]]),tblLines[[#This Row],[payment_date]]&lt;DATE(2026,7,1)),"pre-1-Jul-2026 ","")&amp;IF(OR(AND(tblLines[[#This Row],[sg_amount]]&lt;&gt;"",OR(NOT(ISNUMBER(tblLines[[#This Row],[sg_amount]])),tblLines[[#This Row],[sg_amount]]&lt;0)),AND(tblLines[[#This Row],[remitted_amount]]&lt;&gt;"",OR(NOT(ISNUMBER(tblLines[[#This Row],[remitted_amount]])),tblLines[[#This Row],[remitted_amount]]&lt;0)),AND(tblLines[[#This Row],[matched_amount]]&lt;&gt;"",OR(NOT(ISNUMBER(tblLines[[#This Row],[matched_amount]])),tblLines[[#This Row],[matched_amount]]&lt;0))),"amount ","")&amp;IF(NOT(ISNUMBER(tblLines[[#This Row],[sg_amount]])),"sg_amount ","")&amp;IF(OR(tblLines[[#This Row],[Flag_ftf]]="",tblLines[[#This Row],[Flag_ooc]]="",tblLines[[#This Row],[Flag_db]]=""),"yes/no ","")&amp;IF(AND(ISNUMBER(tblLines[[#This Row],[remitted_amount]]),ISNUMBER(tblLines[[#This Row],[sg_amount]]),tblLines[[#This Row],[remitted_amount]]&gt;tblLines[[#This Row],[sg_amount]]),"remitted_amount&gt;sg ","")&amp;IF(AND(ISNUMBER(tblLines[[#This Row],[remitted_amount]]),NOT(ISNUMBER(tblLines[[#This Row],[remitted_date]]))),"remitted_amount-needs-date ","")&amp;IF(AND(ISNUMBER(tblLines[[#This Row],[matched_amount]]),ISNUMBER(tblLines[[#This Row],[sg_amount]]),tblLines[[#This Row],[matched_amount]]&gt;tblLines[[#This Row],[sg_amount]]),"matched_amount&gt;sg ","")&amp;IF(AND(ISNUMBER(tblLines[[#This Row],[matched_amount]]),ISNUMBER(tblLines[[#This Row],[remitted_amount]]),tblLines[[#This Row],[remitted_amount]]&gt;tblLines[[#This Row],[matched_amount]]),"remitted_amount&gt;matched ","")&amp;IF(AND(ISNUMBER(tblLines[[#This Row],[matched_amount]]),ISNUMBER(tblLines[[#This Row],[sg_amount]]),tblLines[[#This Row],[matched_amount]]&lt;tblLines[[#This Row],[sg_amount]],ISNUMBER(tblLines[[#This Row],[remitted_date]]),NOT(ISNUMBER(tblLines[[#This Row],[remitted_amount]]))),"partial-match-needs-remitted_amount ","")&amp;IF(AND(ISNUMBER(tblLines[[#This Row],[fund_received_date]]),ISNUMBER(tblLines[[#This Row],[remitted_date]]),tblLines[[#This Row],[fund_received_date]]&lt;tblLines[[#This Row],[remitted_date]]),"receipt-before-remittance ","")&amp;IF(AND(tblLines[[#This Row],[Flag_ooc]]=1,NOT(ISNUMBER(tblLines[[#This Row],[next_standard_payday]]))),"out_of_cycle-needs-next_standard_payday ","")&amp;IF(AND(tblLines[[#This Row],[Flag_ooc]]=1,ISNUMBER(tblLines[[#This Row],[next_standard_payday]]),ISNUMBER(tblLines[[#This Row],[payment_date]]),tblLines[[#This Row],[next_standard_payday]]&lt;=tblLines[[#This Row],[payment_date]]),"next_standard_payday-not-after-payday ",""))</f>
        <v/>
      </c>
      <c r="P6" s="9">
        <f>IF(OR(_xlfn.ISFORMULA(tblLines[[#This Row],[employee_id]]),_xlfn.ISFORMULA(tblLines[[#This Row],[payment_date]]),_xlfn.ISFORMULA(tblLines[[#This Row],[sg_amount]]),_xlfn.ISFORMULA(tblLines[[#This Row],[remitted_date]]),_xlfn.ISFORMULA(tblLines[[#This Row],[remitted_amount]]),_xlfn.ISFORMULA(tblLines[[#This Row],[matched_amount]]),_xlfn.ISFORMULA(tblLines[[#This Row],[fund_received_date]]),_xlfn.ISFORMULA(tblLines[[#This Row],[first_contribution_to_fund]]),_xlfn.ISFORMULA(tblLines[[#This Row],[out_of_cycle]]),_xlfn.ISFORMULA(tblLines[[#This Row],[next_standard_payday]]),_xlfn.ISFORMULA(tblLines[[#This Row],[defined_benefit]])),1,0)</f>
        <v>0</v>
      </c>
      <c r="Q6" s="10">
        <f>IF(ISNUMBER(tblLines[[#This Row],[matched_amount]]),tblLines[[#This Row],[matched_amount]],IF(ISNUMBER(tblLines[[#This Row],[remitted_amount]]),tblLines[[#This Row],[remitted_amount]],tblLines[[#This Row],[sg_amount]]))</f>
        <v>450</v>
      </c>
      <c r="R6" s="11" t="str">
        <f>IF(AND(tblLines[[#This Row],[Flag_ooc]]=1,ISNUMBER(tblLines[[#This Row],[next_standard_payday]])),WORKDAY.INTL(tblLines[[#This Row],[next_standard_payday]],7,1,tblHolidays[date]),"")</f>
        <v/>
      </c>
      <c r="S6" s="11">
        <f>IF(tblLines[[#This Row],[Flag_ftf]]=1,WORKDAY.INTL(tblLines[[#This Row],[payment_date]],20,1,tblHolidays[date]),"")</f>
        <v>46241</v>
      </c>
      <c r="T6" s="11">
        <f>IF(OR(tblLines[[#This Row],[Flag_db]]=1,NOT(ISNUMBER(tblLines[[#This Row],[payment_date]]))),"",IF(OR(tblLines[[#This Row],[Flag_ooc]]=1,tblLines[[#This Row],[Flag_ftf]]=1),MAX(tblLines[[#This Row],[Due_ooc]],tblLines[[#This Row],[Due_ftf]]),WORKDAY.INTL(tblLines[[#This Row],[payment_date]],7,1,tblHolidays[date])))</f>
        <v>46241</v>
      </c>
      <c r="U6" s="9" t="str">
        <f>IF(tblLines[[#This Row],[Flag_db]]=1,"SKIP_DB",IF(tblLines[[#This Row],[Flag_ooc]]=1,IF(AND(tblLines[[#This Row],[Flag_ftf]]=1,tblLines[[#This Row],[Due_ftf]]&gt;tblLines[[#This Row],[Due_ooc]]),"EXTENDED_20BD","OUT_OF_CYCLE"),IF(tblLines[[#This Row],[Flag_ftf]]=1,"EXTENDED_20BD","USUAL_7BD")))</f>
        <v>EXTENDED_20BD</v>
      </c>
      <c r="V6" s="11">
        <f>IF(ISNUMBER(tblLines[[#This Row],[payment_date]]),EDATE(tblLines[[#This Row],[payment_date]]-1,-12)+1,"")</f>
        <v>45847</v>
      </c>
      <c r="W6" s="11">
        <f>IF(AND(ISNUMBER(tblLines[[#This Row],[fund_received_date]]),tblLines[[#This Row],[fund_received_date]]&lt;=Summary!$B$2),tblLines[[#This Row],[fund_received_date]],"")</f>
        <v>46239</v>
      </c>
      <c r="X6" s="11">
        <f>IF(AND(ISNUMBER(tblLines[[#This Row],[remitted_date]]),tblLines[[#This Row],[remitted_date]]&lt;=Summary!$B$2),tblLines[[#This Row],[remitted_date]],"")</f>
        <v>46237</v>
      </c>
      <c r="Y6" s="10">
        <f>IF(tblLines[[#This Row],[Settled]]&lt;&gt;"",MIN(ROUND(tblLines[[#This Row],[Cap]],2),ROUND(tblLines[[#This Row],[sg_amount]],2)),0)</f>
        <v>450</v>
      </c>
      <c r="Z6" s="10">
        <f>IF(ISNUMBER(tblLines[[#This Row],[remitted_amount]]),IF(tblLines[[#This Row],[Remit]]&lt;&gt;"",MIN(ROUND(tblLines[[#This Row],[remitted_amount]],2),ROUND(tblLines[[#This Row],[sg_amount]],2)),0),IF(tblLines[[#This Row],[Remit]]&lt;&gt;"",ROUND(tblLines[[#This Row],[sg_amount]],2),0))</f>
        <v>450</v>
      </c>
      <c r="AA6" s="9" t="str">
        <f>IF(OR(tblLines[[#This Row],[Own_due]]="",tblLines[[#This Row],[sg_amount]]&lt;=0,tblLines[[#This Row],[Flag_db]]=1,tblLines[[#This Row],[Cap]]&lt;=0),"impossible",IF(ISNUMBER(tblLines[[#This Row],[fund_received_date]]),IF(tblLines[[#This Row],[fund_received_date]]&lt;tblLines[[#This Row],[Earliest_prepay]],"impossible",IF(tblLines[[#This Row],[fund_received_date]]&lt;=Summary!$B$2,IF(OR(tblLines[[#This Row],[fund_received_date]]&lt;tblLines[[#This Row],[payment_date]],tblLines[[#This Row],[fund_received_date]]&lt;=tblLines[[#This Row],[Own_due]]),"confirmed",IF(tblLines[[#This Row],[fund_received_date]]&gt;tblLines[[#This Row],[Own_due]],"impossible","possible")),IF(tblLines[[#This Row],[fund_received_date]]&lt;=tblLines[[#This Row],[Own_due]],"possible","impossible"))),IF(AND(ISNUMBER(tblLines[[#This Row],[remitted_date]]),tblLines[[#This Row],[remitted_date]]&gt;tblLines[[#This Row],[Own_due]]),"impossible","possible")))</f>
        <v>confirmed</v>
      </c>
      <c r="AB6" s="11">
        <f>IF(OR(tblLines[[#This Row],[Flag_db]]=1,tblLines[[#This Row],[Own_due]]=""),"",_xlfn.MAXIFS(tblLines[Own_due],tblLines[employee_id],tblLines[[#This Row],[employee_id]],tblLines[payment_date],"&lt;"&amp;tblLines[[#This Row],[payment_date]],tblLines[Evidence_own],"confirmed"))</f>
        <v>0</v>
      </c>
      <c r="AC6" s="11">
        <f>IF(OR(tblLines[[#This Row],[Flag_db]]=1,tblLines[[#This Row],[Own_due]]=""),"",_xlfn.MAXIFS(tblLines[Own_due],tblLines[employee_id],tblLines[[#This Row],[employee_id]],tblLines[payment_date],"&lt;"&amp;tblLines[[#This Row],[payment_date]],tblLines[Evidence_own],"&lt;&gt;impossible"))</f>
        <v>0</v>
      </c>
      <c r="AD6" s="11">
        <f>IF(tblLines[[#This Row],[Own_due]]="","",IF(AND(ISNUMBER(tblLines[[#This Row],[Confirmed_latest]]),tblLines[[#This Row],[Confirmed_latest]]&gt;tblLines[[#This Row],[Own_due]]),tblLines[[#This Row],[Confirmed_latest]],tblLines[[#This Row],[Own_due]]))</f>
        <v>46241</v>
      </c>
      <c r="AE6" s="9" t="str">
        <f>IF(tblLines[[#This Row],[Own_due]]="",tblLines[[#This Row],[Own_pathway]],IF(AND(ISNUMBER(tblLines[[#This Row],[Confirmed_latest]]),tblLines[[#This Row],[Confirmed_latest]]&gt;tblLines[[#This Row],[Own_due]]),"ITEM4_ALIGNED",tblLines[[#This Row],[Own_pathway]]))</f>
        <v>EXTENDED_20BD</v>
      </c>
      <c r="AF6" s="11" t="str">
        <f>IF(tblLines[[#This Row],[Final_due]]="","",IF(AND(ISNUMBER(tblLines[[#This Row],[Possible_latest]]),tblLines[[#This Row],[Possible_latest]]&gt;tblLines[[#This Row],[Final_due]]),tblLines[[#This Row],[Possible_latest]],""))</f>
        <v/>
      </c>
      <c r="AG6" s="9">
        <f>IF(tblLines[[#This Row],[Final_due]]="","",IF((tblLines[[#This Row],[Final_due]]&gt;Summary!$B$6),1,0))</f>
        <v>0</v>
      </c>
      <c r="AH6" s="9" t="str">
        <f>IF(tblLines[[#This Row],[Flag_db]]=1,"DB",IF(tblLines[[#This Row],[Final_due]]="","",IF(tblLines[[#This Row],[sg_amount]]&lt;=0,"NIL",IF(tblLines[[#This Row],[Settled]]&lt;&gt;"",IF(tblLines[[#This Row],[Settled]]&lt;tblLines[[#This Row],[payment_date]],IF(tblLines[[#This Row],[Settled]]&gt;=tblLines[[#This Row],[Earliest_prepay]],IF((tblLines[[#This Row],[Receipt_credit]]&gt;=tblLines[[#This Row],[sg_amount]]),"A1",IF(tblLines[[#This Row],[Final_due]]&gt;=Summary!$B$2,"A2",IF(OR((tblLines[[#This Row],[Final_due]]&gt;Summary!$B$6),AND((tblLines[[#This Row],[Possible_item4]]&lt;&gt;""),Summary!$B$2&lt;=tblLines[[#This Row],[Possible_item4]])),"A3","A4"))),IF(tblLines[[#This Row],[Final_due]]&gt;=Summary!$B$2,"S1",IF(OR((tblLines[[#This Row],[Final_due]]&gt;Summary!$B$6),AND((tblLines[[#This Row],[Possible_item4]]&lt;&gt;""),Summary!$B$2&lt;=tblLines[[#This Row],[Possible_item4]])),"S2","S3"))),IF(AND((tblLines[[#This Row],[Possible_item4]]&lt;&gt;""),tblLines[[#This Row],[Final_due]]&lt;tblLines[[#This Row],[Settled]],tblLines[[#This Row],[Settled]]&lt;=tblLines[[#This Row],[Possible_item4]]),IF((tblLines[[#This Row],[Receipt_credit]]&gt;=tblLines[[#This Row],[sg_amount]]),"B1",IF(Summary!$B$2&lt;=tblLines[[#This Row],[Possible_item4]],"B2","B3")),IF(AND((tblLines[[#This Row],[Final_due]]&gt;Summary!$B$6),tblLines[[#This Row],[Settled]]&gt;tblLines[[#This Row],[Final_due]]),IF((tblLines[[#This Row],[Receipt_credit]]&gt;=tblLines[[#This Row],[sg_amount]]),"C1","C2"),IF(tblLines[[#This Row],[Settled]]&lt;=tblLines[[#This Row],[Final_due]],IF((tblLines[[#This Row],[Receipt_credit]]&gt;=tblLines[[#This Row],[sg_amount]]),"D1",IF(OR((tblLines[[#This Row],[Final_due]]&gt;Summary!$B$6),AND((tblLines[[#This Row],[Possible_item4]]&lt;&gt;""),Summary!$B$2&lt;=tblLines[[#This Row],[Possible_item4]])),"D2",IF(tblLines[[#This Row],[Final_due]]&lt;Summary!$B$2,"D3","D4"))),"E")))),IF(AND(tblLines[[#This Row],[Remit]]&lt;&gt;"",tblLines[[#This Row],[sg_amount]]-tblLines[[#This Row],[Credit]]&lt;=0),IF(AND((tblLines[[#This Row],[Possible_item4]]&lt;&gt;""),tblLines[[#This Row],[Final_due]]&lt;tblLines[[#This Row],[Remit]],tblLines[[#This Row],[Remit]]&lt;=tblLines[[#This Row],[Possible_item4]]),"R1",IF(AND((tblLines[[#This Row],[Final_due]]&gt;Summary!$B$6),tblLines[[#This Row],[Remit]]&gt;tblLines[[#This Row],[Final_due]]),"R2",IF(tblLines[[#This Row],[Remit]]&lt;=tblLines[[#This Row],[Final_due]],"R3","R4"))),IF(tblLines[[#This Row],[Final_due]]&lt;Summary!$B$2,IF(OR((tblLines[[#This Row],[Final_due]]&gt;Summary!$B$6),AND((tblLines[[#This Row],[Possible_item4]]&lt;&gt;""),Summary!$B$2&lt;=tblLines[[#This Row],[Possible_item4]])),"N1","N2"),"N3"))))))</f>
        <v>D1</v>
      </c>
      <c r="AI6" s="9" t="str">
        <f>IF(tblLines[[#This Row],[Branch]]="","",INDEX(tblCodes[verdict],MATCH(tblLines[[#This Row],[Branch]],tblCodes[code],0)))</f>
        <v>ON_TIME</v>
      </c>
      <c r="AJ6" s="9" t="str">
        <f>IF(tblLines[[#This Row],[Branch]]="","",T(INDEX(tblCodes[unassessable],MATCH(tblLines[[#This Row],[Branch]],tblCodes[code],0))))</f>
        <v/>
      </c>
      <c r="AK6" s="9">
        <f>IF(tblLines[[#This Row],[Branch]]="",0,INDEX(tblCodes[exposed],MATCH(tblLines[[#This Row],[Branch]],tblCodes[code],0)))</f>
        <v>0</v>
      </c>
      <c r="AL6" s="9">
        <f>IF(tblLines[[#This Row],[Branch]]="",0,INDEX(tblCodes[stale],MATCH(tblLines[[#This Row],[Branch]],tblCodes[code],0)))</f>
        <v>0</v>
      </c>
      <c r="AM6" s="10">
        <f>IF(tblLines[[#This Row],[Branch]]="",0,INDEX(tblCodes[otrc],MATCH(tblLines[[#This Row],[Branch]],tblCodes[code],0))*tblLines[[#This Row],[Receipt_credit]])</f>
        <v>450</v>
      </c>
      <c r="AN6" s="10" t="str">
        <f>IF((tblLines[[#This Row],[Exposed]]=1),MAX(ROUND(tblLines[[#This Row],[sg_amount]],2)-tblLines[[#This Row],[OTRC]],0),"")</f>
        <v/>
      </c>
      <c r="AO6" s="10" t="str">
        <f>IF((tblLines[[#This Row],[Exposed]]=1),IF(AND(tblLines[[#This Row],[Settled]]&lt;&gt;"",tblLines[[#This Row],[Stale_prepay]]=0,tblLines[[#This Row],[Settled]]&gt;tblLines[[#This Row],[Final_due]],OR(Summary!$B$3="",tblLines[[#This Row],[Settled]]&lt;Summary!$B$3)),MIN(tblLines[[#This Row],[Receipt_credit]],tblLines[[#This Row],[Base_shortfall]]),0),"")</f>
        <v/>
      </c>
      <c r="AP6" s="10" t="str">
        <f>IF((tblLines[[#This Row],[Exposed]]=1),MAX(tblLines[[#This Row],[Base_shortfall]]-tblLines[[#This Row],[Offset_s18D]],0),"")</f>
        <v/>
      </c>
      <c r="AQ6" s="9" t="str">
        <f>IF((tblLines[[#This Row],[Exposed]]=1),IF(AND(tblLines[[#This Row],[Settled]]&lt;&gt;"",tblLines[[#This Row],[Stale_prepay]]=0,(tblLines[[#This Row],[Receipt_credit]]&gt;=tblLines[[#This Row],[sg_amount]])),"fund receipt",IF(AND(tblLines[[#This Row],[Settled]]&lt;&gt;"",tblLines[[#This Row],[Stale_prepay]]=0),"as-at date (shortfall remains after part receipt)",IF(AND(OR(tblLines[[#This Row],[Settled]]&lt;&gt;"",tblLines[[#This Row],[Remit]]&lt;&gt;""),tblLines[[#This Row],[Stale_prepay]]=0),"as-at date (no fund receipt recorded)","as-at date (nothing applied to this payday)"))),"")</f>
        <v/>
      </c>
      <c r="AR6" s="11" t="str">
        <f>IF((tblLines[[#This Row],[Exposed]]=1),IF(AND(tblLines[[#This Row],[Settled]]&lt;&gt;"",tblLines[[#This Row],[Stale_prepay]]=0,(tblLines[[#This Row],[Receipt_credit]]&gt;=tblLines[[#This Row],[sg_amount]])),tblLines[[#This Row],[Settled]],Summary!$B$2),"")</f>
        <v/>
      </c>
      <c r="AS6" s="11" t="str">
        <f>IF((tblLines[[#This Row],[Exposed]]=1),MIN(IF(Summary!$B$3="",DATE(2030,12,31),Summary!$B$3-1),IF(AND(tblLines[[#This Row],[Settled]]&lt;&gt;"",tblLines[[#This Row],[Stale_prepay]]=0,(tblLines[[#This Row],[Receipt_credit]]&gt;=tblLines[[#This Row],[sg_amount]]),tblLines[[#This Row],[Final_shortfall]]=0),tblLines[[#This Row],[Settled]],Summary!$B$2)),"")</f>
        <v/>
      </c>
      <c r="AT6" s="9" t="str">
        <f>IF((tblLines[[#This Row],[Exposed]]=1),IF(tblLines[[#This Row],[Past_horizon]]=1,"",MAX(tblLines[[#This Row],[Outstanding_to]]-tblLines[[#This Row],[Final_due]],0)),"")</f>
        <v/>
      </c>
      <c r="AU6" s="10" t="str">
        <f>IF((tblLines[[#This Row],[Exposed]]=1),IF(tblLines[[#This Row],[NEC_end]]&gt;tblLines[[#This Row],[Final_due]],tblLines[[#This Row],[Base_shortfall]]*(EXP(SUMPRODUCT((((((tblLines[[#This Row],[NEC_end]]+tblGic[to]-ABS(tblLines[[#This Row],[NEC_end]]-tblGic[to]))/2)-(((tblLines[[#This Row],[Final_due]]+1)+tblGic[from]+ABS((tblLines[[#This Row],[Final_due]]+1)-tblGic[from]))/2)+1)&gt;0)*(((tblLines[[#This Row],[NEC_end]]+tblGic[to]-ABS(tblLines[[#This Row],[NEC_end]]-tblGic[to]))/2)-(((tblLines[[#This Row],[Final_due]]+1)+tblGic[from]+ABS((tblLines[[#This Row],[Final_due]]+1)-tblGic[from]))/2)+1))*LN(1+tblGic[annual_pct]/100/tblGic[divisor])))-1),0),"")</f>
        <v/>
      </c>
      <c r="AV6" s="9" t="str">
        <f>IF((tblLines[[#This Row],[Exposed]]=1),IF(tblLines[[#This Row],[NEC_end]]&gt;Summary!$B$7,1,0),"")</f>
        <v/>
      </c>
      <c r="AW6" s="10" t="str">
        <f>IF((tblLines[[#This Row],[Exposed]]=1),ROUND(tblLines[[#This Row],[Final_shortfall]],2),"")</f>
        <v/>
      </c>
      <c r="AX6" s="10" t="str">
        <f>IF((tblLines[[#This Row],[Exposed]]=1),ROUND(tblLines[[#This Row],[NEC]],2),"")</f>
        <v/>
      </c>
      <c r="AY6" s="10" t="str">
        <f>IF((tblLines[[#This Row],[Exposed]]=1),0,"")</f>
        <v/>
      </c>
      <c r="AZ6" s="10" t="str">
        <f>IF((tblLines[[#This Row],[Exposed]]=1),ROUND(0.6*(tblLines[[#This Row],[Final_shortfall]]+tblLines[[#This Row],[NEC]]),2),"")</f>
        <v/>
      </c>
      <c r="BA6" s="10" t="str">
        <f>IF((tblLines[[#This Row],[Exposed]]=1),tblLines[[#This Row],[Shortfall_r]]+tblLines[[#This Row],[NEC_r]]+tblLines[[#This Row],[Uplift_best]],"")</f>
        <v/>
      </c>
      <c r="BB6" s="10" t="str">
        <f>IF((tblLines[[#This Row],[Exposed]]=1),tblLines[[#This Row],[Shortfall_r]]+tblLines[[#This Row],[NEC_r]]+tblLines[[#This Row],[Uplift_worst]],"")</f>
        <v/>
      </c>
      <c r="BC6" s="9">
        <f>IF(AND(tblLines[[#This Row],[Flag_db]]&lt;&gt;1,ISNUMBER(tblLines[[#This Row],[sg_amount]]),tblLines[[#This Row],[sg_amount]]&gt;0,tblLines[[#This Row],[Cap]]&gt;0,OR(ISNUMBER(tblLines[[#This Row],[fund_received_date]]),ISNUMBER(tblLines[[#This Row],[remitted_date]])),IF(ISNUMBER(tblLines[[#This Row],[fund_received_date]]),tblLines[[#This Row],[fund_received_date]],tblLines[[#This Row],[remitted_date]])&lt;=DATE(2026,7,28)),1,0)</f>
        <v>0</v>
      </c>
      <c r="BD6" s="9">
        <f>IF(tblLines[[#This Row],[Settled]]&lt;&gt;"",1,0)</f>
        <v>1</v>
      </c>
      <c r="BE6" s="9">
        <f>IF(AND(tblLines[[#This Row],[Verdict]]&lt;&gt;"",tblLines[[#This Row],[Verdict]]&lt;&gt;"SKIPPED",ISNUMBER(tblLines[[#This Row],[sg_amount]]),tblLines[[#This Row],[sg_amount]]&gt;0),1,0)</f>
        <v>1</v>
      </c>
      <c r="BF6" s="9">
        <f>IF(COUNTIFS(tblLines[employee_id],tblLines[[#This Row],[employee_id]],tblLines[payment_date],tblLines[[#This Row],[payment_date]],tblLines[sg_amount],tblLines[[#This Row],[sg_amount]],tblLines[remitted_date],tblLines[[#This Row],[remitted_date]]&amp;"",tblLines[fund_received_date],tblLines[[#This Row],[fund_received_date]]&amp;"")&gt;1,1,0)</f>
        <v>0</v>
      </c>
    </row>
    <row r="7" spans="1:58" x14ac:dyDescent="0.25">
      <c r="A7" s="6" t="s">
        <v>74</v>
      </c>
      <c r="B7" s="7">
        <v>46218</v>
      </c>
      <c r="C7" s="8">
        <v>120</v>
      </c>
      <c r="D7" s="7">
        <v>46233</v>
      </c>
      <c r="E7" s="8"/>
      <c r="F7" s="8"/>
      <c r="G7" s="7">
        <v>46234</v>
      </c>
      <c r="H7" s="6" t="s">
        <v>68</v>
      </c>
      <c r="I7" s="6" t="s">
        <v>73</v>
      </c>
      <c r="J7" s="7">
        <v>46226</v>
      </c>
      <c r="K7" s="6" t="s">
        <v>68</v>
      </c>
      <c r="L7" s="9">
        <f>IF(OR(LOWER(TRIM(tblLines[[#This Row],[defined_benefit]]&amp;""))={"1","t","true","y","yes"}),1,IF(OR(LOWER(TRIM(tblLines[[#This Row],[defined_benefit]]&amp;""))={"","0","f","false","n","no"}),0,""))</f>
        <v>0</v>
      </c>
      <c r="M7" s="9">
        <f>IF(OR(LOWER(TRIM(tblLines[[#This Row],[out_of_cycle]]&amp;""))={"1","t","true","y","yes"}),1,IF(OR(LOWER(TRIM(tblLines[[#This Row],[out_of_cycle]]&amp;""))={"","0","f","false","n","no"}),0,""))</f>
        <v>1</v>
      </c>
      <c r="N7" s="9">
        <f>IF(OR(LOWER(TRIM(tblLines[[#This Row],[first_contribution_to_fund]]&amp;""))={"1","t","true","y","yes"}),1,IF(OR(LOWER(TRIM(tblLines[[#This Row],[first_contribution_to_fund]]&amp;""))={"","0","f","false","n","no"}),0,""))</f>
        <v>0</v>
      </c>
      <c r="O7" s="9" t="str">
        <f>TRIM(IF(OR(AND(tblLines[[#This Row],[payment_date]]&lt;&gt;"",NOT(ISNUMBER(tblLines[[#This Row],[payment_date]]))),AND(tblLines[[#This Row],[remitted_date]]&lt;&gt;"",NOT(ISNUMBER(tblLines[[#This Row],[remitted_date]]))),AND(tblLines[[#This Row],[fund_received_date]]&lt;&gt;"",NOT(ISNUMBER(tblLines[[#This Row],[fund_received_date]]))),AND(tblLines[[#This Row],[next_standard_payday]]&lt;&gt;"",NOT(ISNUMBER(tblLines[[#This Row],[next_standard_payday]])))),"date ","")&amp;IF(NOT(ISNUMBER(tblLines[[#This Row],[payment_date]])),"payment_date ","")&amp;IF(AND(ISNUMBER(tblLines[[#This Row],[payment_date]]),tblLines[[#This Row],[payment_date]]&lt;DATE(2026,7,1)),"pre-1-Jul-2026 ","")&amp;IF(OR(AND(tblLines[[#This Row],[sg_amount]]&lt;&gt;"",OR(NOT(ISNUMBER(tblLines[[#This Row],[sg_amount]])),tblLines[[#This Row],[sg_amount]]&lt;0)),AND(tblLines[[#This Row],[remitted_amount]]&lt;&gt;"",OR(NOT(ISNUMBER(tblLines[[#This Row],[remitted_amount]])),tblLines[[#This Row],[remitted_amount]]&lt;0)),AND(tblLines[[#This Row],[matched_amount]]&lt;&gt;"",OR(NOT(ISNUMBER(tblLines[[#This Row],[matched_amount]])),tblLines[[#This Row],[matched_amount]]&lt;0))),"amount ","")&amp;IF(NOT(ISNUMBER(tblLines[[#This Row],[sg_amount]])),"sg_amount ","")&amp;IF(OR(tblLines[[#This Row],[Flag_ftf]]="",tblLines[[#This Row],[Flag_ooc]]="",tblLines[[#This Row],[Flag_db]]=""),"yes/no ","")&amp;IF(AND(ISNUMBER(tblLines[[#This Row],[remitted_amount]]),ISNUMBER(tblLines[[#This Row],[sg_amount]]),tblLines[[#This Row],[remitted_amount]]&gt;tblLines[[#This Row],[sg_amount]]),"remitted_amount&gt;sg ","")&amp;IF(AND(ISNUMBER(tblLines[[#This Row],[remitted_amount]]),NOT(ISNUMBER(tblLines[[#This Row],[remitted_date]]))),"remitted_amount-needs-date ","")&amp;IF(AND(ISNUMBER(tblLines[[#This Row],[matched_amount]]),ISNUMBER(tblLines[[#This Row],[sg_amount]]),tblLines[[#This Row],[matched_amount]]&gt;tblLines[[#This Row],[sg_amount]]),"matched_amount&gt;sg ","")&amp;IF(AND(ISNUMBER(tblLines[[#This Row],[matched_amount]]),ISNUMBER(tblLines[[#This Row],[remitted_amount]]),tblLines[[#This Row],[remitted_amount]]&gt;tblLines[[#This Row],[matched_amount]]),"remitted_amount&gt;matched ","")&amp;IF(AND(ISNUMBER(tblLines[[#This Row],[matched_amount]]),ISNUMBER(tblLines[[#This Row],[sg_amount]]),tblLines[[#This Row],[matched_amount]]&lt;tblLines[[#This Row],[sg_amount]],ISNUMBER(tblLines[[#This Row],[remitted_date]]),NOT(ISNUMBER(tblLines[[#This Row],[remitted_amount]]))),"partial-match-needs-remitted_amount ","")&amp;IF(AND(ISNUMBER(tblLines[[#This Row],[fund_received_date]]),ISNUMBER(tblLines[[#This Row],[remitted_date]]),tblLines[[#This Row],[fund_received_date]]&lt;tblLines[[#This Row],[remitted_date]]),"receipt-before-remittance ","")&amp;IF(AND(tblLines[[#This Row],[Flag_ooc]]=1,NOT(ISNUMBER(tblLines[[#This Row],[next_standard_payday]]))),"out_of_cycle-needs-next_standard_payday ","")&amp;IF(AND(tblLines[[#This Row],[Flag_ooc]]=1,ISNUMBER(tblLines[[#This Row],[next_standard_payday]]),ISNUMBER(tblLines[[#This Row],[payment_date]]),tblLines[[#This Row],[next_standard_payday]]&lt;=tblLines[[#This Row],[payment_date]]),"next_standard_payday-not-after-payday ",""))</f>
        <v/>
      </c>
      <c r="P7" s="9">
        <f>IF(OR(_xlfn.ISFORMULA(tblLines[[#This Row],[employee_id]]),_xlfn.ISFORMULA(tblLines[[#This Row],[payment_date]]),_xlfn.ISFORMULA(tblLines[[#This Row],[sg_amount]]),_xlfn.ISFORMULA(tblLines[[#This Row],[remitted_date]]),_xlfn.ISFORMULA(tblLines[[#This Row],[remitted_amount]]),_xlfn.ISFORMULA(tblLines[[#This Row],[matched_amount]]),_xlfn.ISFORMULA(tblLines[[#This Row],[fund_received_date]]),_xlfn.ISFORMULA(tblLines[[#This Row],[first_contribution_to_fund]]),_xlfn.ISFORMULA(tblLines[[#This Row],[out_of_cycle]]),_xlfn.ISFORMULA(tblLines[[#This Row],[next_standard_payday]]),_xlfn.ISFORMULA(tblLines[[#This Row],[defined_benefit]])),1,0)</f>
        <v>0</v>
      </c>
      <c r="Q7" s="10">
        <f>IF(ISNUMBER(tblLines[[#This Row],[matched_amount]]),tblLines[[#This Row],[matched_amount]],IF(ISNUMBER(tblLines[[#This Row],[remitted_amount]]),tblLines[[#This Row],[remitted_amount]],tblLines[[#This Row],[sg_amount]]))</f>
        <v>120</v>
      </c>
      <c r="R7" s="11">
        <f>IF(AND(tblLines[[#This Row],[Flag_ooc]]=1,ISNUMBER(tblLines[[#This Row],[next_standard_payday]])),WORKDAY.INTL(tblLines[[#This Row],[next_standard_payday]],7,1,tblHolidays[date]),"")</f>
        <v>46238</v>
      </c>
      <c r="S7" s="11" t="str">
        <f>IF(tblLines[[#This Row],[Flag_ftf]]=1,WORKDAY.INTL(tblLines[[#This Row],[payment_date]],20,1,tblHolidays[date]),"")</f>
        <v/>
      </c>
      <c r="T7" s="11">
        <f>IF(OR(tblLines[[#This Row],[Flag_db]]=1,NOT(ISNUMBER(tblLines[[#This Row],[payment_date]]))),"",IF(OR(tblLines[[#This Row],[Flag_ooc]]=1,tblLines[[#This Row],[Flag_ftf]]=1),MAX(tblLines[[#This Row],[Due_ooc]],tblLines[[#This Row],[Due_ftf]]),WORKDAY.INTL(tblLines[[#This Row],[payment_date]],7,1,tblHolidays[date])))</f>
        <v>46238</v>
      </c>
      <c r="U7" s="9" t="str">
        <f>IF(tblLines[[#This Row],[Flag_db]]=1,"SKIP_DB",IF(tblLines[[#This Row],[Flag_ooc]]=1,IF(AND(tblLines[[#This Row],[Flag_ftf]]=1,tblLines[[#This Row],[Due_ftf]]&gt;tblLines[[#This Row],[Due_ooc]]),"EXTENDED_20BD","OUT_OF_CYCLE"),IF(tblLines[[#This Row],[Flag_ftf]]=1,"EXTENDED_20BD","USUAL_7BD")))</f>
        <v>OUT_OF_CYCLE</v>
      </c>
      <c r="V7" s="11">
        <f>IF(ISNUMBER(tblLines[[#This Row],[payment_date]]),EDATE(tblLines[[#This Row],[payment_date]]-1,-12)+1,"")</f>
        <v>45853</v>
      </c>
      <c r="W7" s="11">
        <f>IF(AND(ISNUMBER(tblLines[[#This Row],[fund_received_date]]),tblLines[[#This Row],[fund_received_date]]&lt;=Summary!$B$2),tblLines[[#This Row],[fund_received_date]],"")</f>
        <v>46234</v>
      </c>
      <c r="X7" s="11">
        <f>IF(AND(ISNUMBER(tblLines[[#This Row],[remitted_date]]),tblLines[[#This Row],[remitted_date]]&lt;=Summary!$B$2),tblLines[[#This Row],[remitted_date]],"")</f>
        <v>46233</v>
      </c>
      <c r="Y7" s="10">
        <f>IF(tblLines[[#This Row],[Settled]]&lt;&gt;"",MIN(ROUND(tblLines[[#This Row],[Cap]],2),ROUND(tblLines[[#This Row],[sg_amount]],2)),0)</f>
        <v>120</v>
      </c>
      <c r="Z7" s="10">
        <f>IF(ISNUMBER(tblLines[[#This Row],[remitted_amount]]),IF(tblLines[[#This Row],[Remit]]&lt;&gt;"",MIN(ROUND(tblLines[[#This Row],[remitted_amount]],2),ROUND(tblLines[[#This Row],[sg_amount]],2)),0),IF(tblLines[[#This Row],[Remit]]&lt;&gt;"",ROUND(tblLines[[#This Row],[sg_amount]],2),0))</f>
        <v>120</v>
      </c>
      <c r="AA7" s="9" t="str">
        <f>IF(OR(tblLines[[#This Row],[Own_due]]="",tblLines[[#This Row],[sg_amount]]&lt;=0,tblLines[[#This Row],[Flag_db]]=1,tblLines[[#This Row],[Cap]]&lt;=0),"impossible",IF(ISNUMBER(tblLines[[#This Row],[fund_received_date]]),IF(tblLines[[#This Row],[fund_received_date]]&lt;tblLines[[#This Row],[Earliest_prepay]],"impossible",IF(tblLines[[#This Row],[fund_received_date]]&lt;=Summary!$B$2,IF(OR(tblLines[[#This Row],[fund_received_date]]&lt;tblLines[[#This Row],[payment_date]],tblLines[[#This Row],[fund_received_date]]&lt;=tblLines[[#This Row],[Own_due]]),"confirmed",IF(tblLines[[#This Row],[fund_received_date]]&gt;tblLines[[#This Row],[Own_due]],"impossible","possible")),IF(tblLines[[#This Row],[fund_received_date]]&lt;=tblLines[[#This Row],[Own_due]],"possible","impossible"))),IF(AND(ISNUMBER(tblLines[[#This Row],[remitted_date]]),tblLines[[#This Row],[remitted_date]]&gt;tblLines[[#This Row],[Own_due]]),"impossible","possible")))</f>
        <v>confirmed</v>
      </c>
      <c r="AB7" s="11">
        <f>IF(OR(tblLines[[#This Row],[Flag_db]]=1,tblLines[[#This Row],[Own_due]]=""),"",_xlfn.MAXIFS(tblLines[Own_due],tblLines[employee_id],tblLines[[#This Row],[employee_id]],tblLines[payment_date],"&lt;"&amp;tblLines[[#This Row],[payment_date]],tblLines[Evidence_own],"confirmed"))</f>
        <v>0</v>
      </c>
      <c r="AC7" s="11">
        <f>IF(OR(tblLines[[#This Row],[Flag_db]]=1,tblLines[[#This Row],[Own_due]]=""),"",_xlfn.MAXIFS(tblLines[Own_due],tblLines[employee_id],tblLines[[#This Row],[employee_id]],tblLines[payment_date],"&lt;"&amp;tblLines[[#This Row],[payment_date]],tblLines[Evidence_own],"&lt;&gt;impossible"))</f>
        <v>0</v>
      </c>
      <c r="AD7" s="11">
        <f>IF(tblLines[[#This Row],[Own_due]]="","",IF(AND(ISNUMBER(tblLines[[#This Row],[Confirmed_latest]]),tblLines[[#This Row],[Confirmed_latest]]&gt;tblLines[[#This Row],[Own_due]]),tblLines[[#This Row],[Confirmed_latest]],tblLines[[#This Row],[Own_due]]))</f>
        <v>46238</v>
      </c>
      <c r="AE7" s="9" t="str">
        <f>IF(tblLines[[#This Row],[Own_due]]="",tblLines[[#This Row],[Own_pathway]],IF(AND(ISNUMBER(tblLines[[#This Row],[Confirmed_latest]]),tblLines[[#This Row],[Confirmed_latest]]&gt;tblLines[[#This Row],[Own_due]]),"ITEM4_ALIGNED",tblLines[[#This Row],[Own_pathway]]))</f>
        <v>OUT_OF_CYCLE</v>
      </c>
      <c r="AF7" s="11" t="str">
        <f>IF(tblLines[[#This Row],[Final_due]]="","",IF(AND(ISNUMBER(tblLines[[#This Row],[Possible_latest]]),tblLines[[#This Row],[Possible_latest]]&gt;tblLines[[#This Row],[Final_due]]),tblLines[[#This Row],[Possible_latest]],""))</f>
        <v/>
      </c>
      <c r="AG7" s="9">
        <f>IF(tblLines[[#This Row],[Final_due]]="","",IF((tblLines[[#This Row],[Final_due]]&gt;Summary!$B$6),1,0))</f>
        <v>0</v>
      </c>
      <c r="AH7" s="9" t="str">
        <f>IF(tblLines[[#This Row],[Flag_db]]=1,"DB",IF(tblLines[[#This Row],[Final_due]]="","",IF(tblLines[[#This Row],[sg_amount]]&lt;=0,"NIL",IF(tblLines[[#This Row],[Settled]]&lt;&gt;"",IF(tblLines[[#This Row],[Settled]]&lt;tblLines[[#This Row],[payment_date]],IF(tblLines[[#This Row],[Settled]]&gt;=tblLines[[#This Row],[Earliest_prepay]],IF((tblLines[[#This Row],[Receipt_credit]]&gt;=tblLines[[#This Row],[sg_amount]]),"A1",IF(tblLines[[#This Row],[Final_due]]&gt;=Summary!$B$2,"A2",IF(OR((tblLines[[#This Row],[Final_due]]&gt;Summary!$B$6),AND((tblLines[[#This Row],[Possible_item4]]&lt;&gt;""),Summary!$B$2&lt;=tblLines[[#This Row],[Possible_item4]])),"A3","A4"))),IF(tblLines[[#This Row],[Final_due]]&gt;=Summary!$B$2,"S1",IF(OR((tblLines[[#This Row],[Final_due]]&gt;Summary!$B$6),AND((tblLines[[#This Row],[Possible_item4]]&lt;&gt;""),Summary!$B$2&lt;=tblLines[[#This Row],[Possible_item4]])),"S2","S3"))),IF(AND((tblLines[[#This Row],[Possible_item4]]&lt;&gt;""),tblLines[[#This Row],[Final_due]]&lt;tblLines[[#This Row],[Settled]],tblLines[[#This Row],[Settled]]&lt;=tblLines[[#This Row],[Possible_item4]]),IF((tblLines[[#This Row],[Receipt_credit]]&gt;=tblLines[[#This Row],[sg_amount]]),"B1",IF(Summary!$B$2&lt;=tblLines[[#This Row],[Possible_item4]],"B2","B3")),IF(AND((tblLines[[#This Row],[Final_due]]&gt;Summary!$B$6),tblLines[[#This Row],[Settled]]&gt;tblLines[[#This Row],[Final_due]]),IF((tblLines[[#This Row],[Receipt_credit]]&gt;=tblLines[[#This Row],[sg_amount]]),"C1","C2"),IF(tblLines[[#This Row],[Settled]]&lt;=tblLines[[#This Row],[Final_due]],IF((tblLines[[#This Row],[Receipt_credit]]&gt;=tblLines[[#This Row],[sg_amount]]),"D1",IF(OR((tblLines[[#This Row],[Final_due]]&gt;Summary!$B$6),AND((tblLines[[#This Row],[Possible_item4]]&lt;&gt;""),Summary!$B$2&lt;=tblLines[[#This Row],[Possible_item4]])),"D2",IF(tblLines[[#This Row],[Final_due]]&lt;Summary!$B$2,"D3","D4"))),"E")))),IF(AND(tblLines[[#This Row],[Remit]]&lt;&gt;"",tblLines[[#This Row],[sg_amount]]-tblLines[[#This Row],[Credit]]&lt;=0),IF(AND((tblLines[[#This Row],[Possible_item4]]&lt;&gt;""),tblLines[[#This Row],[Final_due]]&lt;tblLines[[#This Row],[Remit]],tblLines[[#This Row],[Remit]]&lt;=tblLines[[#This Row],[Possible_item4]]),"R1",IF(AND((tblLines[[#This Row],[Final_due]]&gt;Summary!$B$6),tblLines[[#This Row],[Remit]]&gt;tblLines[[#This Row],[Final_due]]),"R2",IF(tblLines[[#This Row],[Remit]]&lt;=tblLines[[#This Row],[Final_due]],"R3","R4"))),IF(tblLines[[#This Row],[Final_due]]&lt;Summary!$B$2,IF(OR((tblLines[[#This Row],[Final_due]]&gt;Summary!$B$6),AND((tblLines[[#This Row],[Possible_item4]]&lt;&gt;""),Summary!$B$2&lt;=tblLines[[#This Row],[Possible_item4]])),"N1","N2"),"N3"))))))</f>
        <v>D1</v>
      </c>
      <c r="AI7" s="9" t="str">
        <f>IF(tblLines[[#This Row],[Branch]]="","",INDEX(tblCodes[verdict],MATCH(tblLines[[#This Row],[Branch]],tblCodes[code],0)))</f>
        <v>ON_TIME</v>
      </c>
      <c r="AJ7" s="9" t="str">
        <f>IF(tblLines[[#This Row],[Branch]]="","",T(INDEX(tblCodes[unassessable],MATCH(tblLines[[#This Row],[Branch]],tblCodes[code],0))))</f>
        <v/>
      </c>
      <c r="AK7" s="9">
        <f>IF(tblLines[[#This Row],[Branch]]="",0,INDEX(tblCodes[exposed],MATCH(tblLines[[#This Row],[Branch]],tblCodes[code],0)))</f>
        <v>0</v>
      </c>
      <c r="AL7" s="9">
        <f>IF(tblLines[[#This Row],[Branch]]="",0,INDEX(tblCodes[stale],MATCH(tblLines[[#This Row],[Branch]],tblCodes[code],0)))</f>
        <v>0</v>
      </c>
      <c r="AM7" s="10">
        <f>IF(tblLines[[#This Row],[Branch]]="",0,INDEX(tblCodes[otrc],MATCH(tblLines[[#This Row],[Branch]],tblCodes[code],0))*tblLines[[#This Row],[Receipt_credit]])</f>
        <v>120</v>
      </c>
      <c r="AN7" s="10" t="str">
        <f>IF((tblLines[[#This Row],[Exposed]]=1),MAX(ROUND(tblLines[[#This Row],[sg_amount]],2)-tblLines[[#This Row],[OTRC]],0),"")</f>
        <v/>
      </c>
      <c r="AO7" s="10" t="str">
        <f>IF((tblLines[[#This Row],[Exposed]]=1),IF(AND(tblLines[[#This Row],[Settled]]&lt;&gt;"",tblLines[[#This Row],[Stale_prepay]]=0,tblLines[[#This Row],[Settled]]&gt;tblLines[[#This Row],[Final_due]],OR(Summary!$B$3="",tblLines[[#This Row],[Settled]]&lt;Summary!$B$3)),MIN(tblLines[[#This Row],[Receipt_credit]],tblLines[[#This Row],[Base_shortfall]]),0),"")</f>
        <v/>
      </c>
      <c r="AP7" s="10" t="str">
        <f>IF((tblLines[[#This Row],[Exposed]]=1),MAX(tblLines[[#This Row],[Base_shortfall]]-tblLines[[#This Row],[Offset_s18D]],0),"")</f>
        <v/>
      </c>
      <c r="AQ7" s="9" t="str">
        <f>IF((tblLines[[#This Row],[Exposed]]=1),IF(AND(tblLines[[#This Row],[Settled]]&lt;&gt;"",tblLines[[#This Row],[Stale_prepay]]=0,(tblLines[[#This Row],[Receipt_credit]]&gt;=tblLines[[#This Row],[sg_amount]])),"fund receipt",IF(AND(tblLines[[#This Row],[Settled]]&lt;&gt;"",tblLines[[#This Row],[Stale_prepay]]=0),"as-at date (shortfall remains after part receipt)",IF(AND(OR(tblLines[[#This Row],[Settled]]&lt;&gt;"",tblLines[[#This Row],[Remit]]&lt;&gt;""),tblLines[[#This Row],[Stale_prepay]]=0),"as-at date (no fund receipt recorded)","as-at date (nothing applied to this payday)"))),"")</f>
        <v/>
      </c>
      <c r="AR7" s="11" t="str">
        <f>IF((tblLines[[#This Row],[Exposed]]=1),IF(AND(tblLines[[#This Row],[Settled]]&lt;&gt;"",tblLines[[#This Row],[Stale_prepay]]=0,(tblLines[[#This Row],[Receipt_credit]]&gt;=tblLines[[#This Row],[sg_amount]])),tblLines[[#This Row],[Settled]],Summary!$B$2),"")</f>
        <v/>
      </c>
      <c r="AS7" s="11" t="str">
        <f>IF((tblLines[[#This Row],[Exposed]]=1),MIN(IF(Summary!$B$3="",DATE(2030,12,31),Summary!$B$3-1),IF(AND(tblLines[[#This Row],[Settled]]&lt;&gt;"",tblLines[[#This Row],[Stale_prepay]]=0,(tblLines[[#This Row],[Receipt_credit]]&gt;=tblLines[[#This Row],[sg_amount]]),tblLines[[#This Row],[Final_shortfall]]=0),tblLines[[#This Row],[Settled]],Summary!$B$2)),"")</f>
        <v/>
      </c>
      <c r="AT7" s="9" t="str">
        <f>IF((tblLines[[#This Row],[Exposed]]=1),IF(tblLines[[#This Row],[Past_horizon]]=1,"",MAX(tblLines[[#This Row],[Outstanding_to]]-tblLines[[#This Row],[Final_due]],0)),"")</f>
        <v/>
      </c>
      <c r="AU7" s="10" t="str">
        <f>IF((tblLines[[#This Row],[Exposed]]=1),IF(tblLines[[#This Row],[NEC_end]]&gt;tblLines[[#This Row],[Final_due]],tblLines[[#This Row],[Base_shortfall]]*(EXP(SUMPRODUCT((((((tblLines[[#This Row],[NEC_end]]+tblGic[to]-ABS(tblLines[[#This Row],[NEC_end]]-tblGic[to]))/2)-(((tblLines[[#This Row],[Final_due]]+1)+tblGic[from]+ABS((tblLines[[#This Row],[Final_due]]+1)-tblGic[from]))/2)+1)&gt;0)*(((tblLines[[#This Row],[NEC_end]]+tblGic[to]-ABS(tblLines[[#This Row],[NEC_end]]-tblGic[to]))/2)-(((tblLines[[#This Row],[Final_due]]+1)+tblGic[from]+ABS((tblLines[[#This Row],[Final_due]]+1)-tblGic[from]))/2)+1))*LN(1+tblGic[annual_pct]/100/tblGic[divisor])))-1),0),"")</f>
        <v/>
      </c>
      <c r="AV7" s="9" t="str">
        <f>IF((tblLines[[#This Row],[Exposed]]=1),IF(tblLines[[#This Row],[NEC_end]]&gt;Summary!$B$7,1,0),"")</f>
        <v/>
      </c>
      <c r="AW7" s="10" t="str">
        <f>IF((tblLines[[#This Row],[Exposed]]=1),ROUND(tblLines[[#This Row],[Final_shortfall]],2),"")</f>
        <v/>
      </c>
      <c r="AX7" s="10" t="str">
        <f>IF((tblLines[[#This Row],[Exposed]]=1),ROUND(tblLines[[#This Row],[NEC]],2),"")</f>
        <v/>
      </c>
      <c r="AY7" s="10" t="str">
        <f>IF((tblLines[[#This Row],[Exposed]]=1),0,"")</f>
        <v/>
      </c>
      <c r="AZ7" s="10" t="str">
        <f>IF((tblLines[[#This Row],[Exposed]]=1),ROUND(0.6*(tblLines[[#This Row],[Final_shortfall]]+tblLines[[#This Row],[NEC]]),2),"")</f>
        <v/>
      </c>
      <c r="BA7" s="10" t="str">
        <f>IF((tblLines[[#This Row],[Exposed]]=1),tblLines[[#This Row],[Shortfall_r]]+tblLines[[#This Row],[NEC_r]]+tblLines[[#This Row],[Uplift_best]],"")</f>
        <v/>
      </c>
      <c r="BB7" s="10" t="str">
        <f>IF((tblLines[[#This Row],[Exposed]]=1),tblLines[[#This Row],[Shortfall_r]]+tblLines[[#This Row],[NEC_r]]+tblLines[[#This Row],[Uplift_worst]],"")</f>
        <v/>
      </c>
      <c r="BC7" s="9">
        <f>IF(AND(tblLines[[#This Row],[Flag_db]]&lt;&gt;1,ISNUMBER(tblLines[[#This Row],[sg_amount]]),tblLines[[#This Row],[sg_amount]]&gt;0,tblLines[[#This Row],[Cap]]&gt;0,OR(ISNUMBER(tblLines[[#This Row],[fund_received_date]]),ISNUMBER(tblLines[[#This Row],[remitted_date]])),IF(ISNUMBER(tblLines[[#This Row],[fund_received_date]]),tblLines[[#This Row],[fund_received_date]],tblLines[[#This Row],[remitted_date]])&lt;=DATE(2026,7,28)),1,0)</f>
        <v>0</v>
      </c>
      <c r="BD7" s="9">
        <f>IF(tblLines[[#This Row],[Settled]]&lt;&gt;"",1,0)</f>
        <v>1</v>
      </c>
      <c r="BE7" s="9">
        <f>IF(AND(tblLines[[#This Row],[Verdict]]&lt;&gt;"",tblLines[[#This Row],[Verdict]]&lt;&gt;"SKIPPED",ISNUMBER(tblLines[[#This Row],[sg_amount]]),tblLines[[#This Row],[sg_amount]]&gt;0),1,0)</f>
        <v>1</v>
      </c>
      <c r="BF7" s="9">
        <f>IF(COUNTIFS(tblLines[employee_id],tblLines[[#This Row],[employee_id]],tblLines[payment_date],tblLines[[#This Row],[payment_date]],tblLines[sg_amount],tblLines[[#This Row],[sg_amount]],tblLines[remitted_date],tblLines[[#This Row],[remitted_date]]&amp;"",tblLines[fund_received_date],tblLines[[#This Row],[fund_received_date]]&amp;"")&gt;1,1,0)</f>
        <v>0</v>
      </c>
    </row>
    <row r="8" spans="1:58" x14ac:dyDescent="0.25">
      <c r="A8" s="6" t="s">
        <v>75</v>
      </c>
      <c r="B8" s="7">
        <v>46212</v>
      </c>
      <c r="C8" s="8">
        <v>900</v>
      </c>
      <c r="D8" s="7">
        <v>46216</v>
      </c>
      <c r="E8" s="8"/>
      <c r="F8" s="8"/>
      <c r="G8" s="7">
        <v>46216</v>
      </c>
      <c r="H8" s="6" t="s">
        <v>68</v>
      </c>
      <c r="I8" s="6" t="s">
        <v>68</v>
      </c>
      <c r="J8" s="7"/>
      <c r="K8" s="6" t="s">
        <v>73</v>
      </c>
      <c r="L8" s="9">
        <f>IF(OR(LOWER(TRIM(tblLines[[#This Row],[defined_benefit]]&amp;""))={"1","t","true","y","yes"}),1,IF(OR(LOWER(TRIM(tblLines[[#This Row],[defined_benefit]]&amp;""))={"","0","f","false","n","no"}),0,""))</f>
        <v>1</v>
      </c>
      <c r="M8" s="9">
        <f>IF(OR(LOWER(TRIM(tblLines[[#This Row],[out_of_cycle]]&amp;""))={"1","t","true","y","yes"}),1,IF(OR(LOWER(TRIM(tblLines[[#This Row],[out_of_cycle]]&amp;""))={"","0","f","false","n","no"}),0,""))</f>
        <v>0</v>
      </c>
      <c r="N8" s="9">
        <f>IF(OR(LOWER(TRIM(tblLines[[#This Row],[first_contribution_to_fund]]&amp;""))={"1","t","true","y","yes"}),1,IF(OR(LOWER(TRIM(tblLines[[#This Row],[first_contribution_to_fund]]&amp;""))={"","0","f","false","n","no"}),0,""))</f>
        <v>0</v>
      </c>
      <c r="O8" s="9" t="str">
        <f>TRIM(IF(OR(AND(tblLines[[#This Row],[payment_date]]&lt;&gt;"",NOT(ISNUMBER(tblLines[[#This Row],[payment_date]]))),AND(tblLines[[#This Row],[remitted_date]]&lt;&gt;"",NOT(ISNUMBER(tblLines[[#This Row],[remitted_date]]))),AND(tblLines[[#This Row],[fund_received_date]]&lt;&gt;"",NOT(ISNUMBER(tblLines[[#This Row],[fund_received_date]]))),AND(tblLines[[#This Row],[next_standard_payday]]&lt;&gt;"",NOT(ISNUMBER(tblLines[[#This Row],[next_standard_payday]])))),"date ","")&amp;IF(NOT(ISNUMBER(tblLines[[#This Row],[payment_date]])),"payment_date ","")&amp;IF(AND(ISNUMBER(tblLines[[#This Row],[payment_date]]),tblLines[[#This Row],[payment_date]]&lt;DATE(2026,7,1)),"pre-1-Jul-2026 ","")&amp;IF(OR(AND(tblLines[[#This Row],[sg_amount]]&lt;&gt;"",OR(NOT(ISNUMBER(tblLines[[#This Row],[sg_amount]])),tblLines[[#This Row],[sg_amount]]&lt;0)),AND(tblLines[[#This Row],[remitted_amount]]&lt;&gt;"",OR(NOT(ISNUMBER(tblLines[[#This Row],[remitted_amount]])),tblLines[[#This Row],[remitted_amount]]&lt;0)),AND(tblLines[[#This Row],[matched_amount]]&lt;&gt;"",OR(NOT(ISNUMBER(tblLines[[#This Row],[matched_amount]])),tblLines[[#This Row],[matched_amount]]&lt;0))),"amount ","")&amp;IF(NOT(ISNUMBER(tblLines[[#This Row],[sg_amount]])),"sg_amount ","")&amp;IF(OR(tblLines[[#This Row],[Flag_ftf]]="",tblLines[[#This Row],[Flag_ooc]]="",tblLines[[#This Row],[Flag_db]]=""),"yes/no ","")&amp;IF(AND(ISNUMBER(tblLines[[#This Row],[remitted_amount]]),ISNUMBER(tblLines[[#This Row],[sg_amount]]),tblLines[[#This Row],[remitted_amount]]&gt;tblLines[[#This Row],[sg_amount]]),"remitted_amount&gt;sg ","")&amp;IF(AND(ISNUMBER(tblLines[[#This Row],[remitted_amount]]),NOT(ISNUMBER(tblLines[[#This Row],[remitted_date]]))),"remitted_amount-needs-date ","")&amp;IF(AND(ISNUMBER(tblLines[[#This Row],[matched_amount]]),ISNUMBER(tblLines[[#This Row],[sg_amount]]),tblLines[[#This Row],[matched_amount]]&gt;tblLines[[#This Row],[sg_amount]]),"matched_amount&gt;sg ","")&amp;IF(AND(ISNUMBER(tblLines[[#This Row],[matched_amount]]),ISNUMBER(tblLines[[#This Row],[remitted_amount]]),tblLines[[#This Row],[remitted_amount]]&gt;tblLines[[#This Row],[matched_amount]]),"remitted_amount&gt;matched ","")&amp;IF(AND(ISNUMBER(tblLines[[#This Row],[matched_amount]]),ISNUMBER(tblLines[[#This Row],[sg_amount]]),tblLines[[#This Row],[matched_amount]]&lt;tblLines[[#This Row],[sg_amount]],ISNUMBER(tblLines[[#This Row],[remitted_date]]),NOT(ISNUMBER(tblLines[[#This Row],[remitted_amount]]))),"partial-match-needs-remitted_amount ","")&amp;IF(AND(ISNUMBER(tblLines[[#This Row],[fund_received_date]]),ISNUMBER(tblLines[[#This Row],[remitted_date]]),tblLines[[#This Row],[fund_received_date]]&lt;tblLines[[#This Row],[remitted_date]]),"receipt-before-remittance ","")&amp;IF(AND(tblLines[[#This Row],[Flag_ooc]]=1,NOT(ISNUMBER(tblLines[[#This Row],[next_standard_payday]]))),"out_of_cycle-needs-next_standard_payday ","")&amp;IF(AND(tblLines[[#This Row],[Flag_ooc]]=1,ISNUMBER(tblLines[[#This Row],[next_standard_payday]]),ISNUMBER(tblLines[[#This Row],[payment_date]]),tblLines[[#This Row],[next_standard_payday]]&lt;=tblLines[[#This Row],[payment_date]]),"next_standard_payday-not-after-payday ",""))</f>
        <v/>
      </c>
      <c r="P8" s="9">
        <f>IF(OR(_xlfn.ISFORMULA(tblLines[[#This Row],[employee_id]]),_xlfn.ISFORMULA(tblLines[[#This Row],[payment_date]]),_xlfn.ISFORMULA(tblLines[[#This Row],[sg_amount]]),_xlfn.ISFORMULA(tblLines[[#This Row],[remitted_date]]),_xlfn.ISFORMULA(tblLines[[#This Row],[remitted_amount]]),_xlfn.ISFORMULA(tblLines[[#This Row],[matched_amount]]),_xlfn.ISFORMULA(tblLines[[#This Row],[fund_received_date]]),_xlfn.ISFORMULA(tblLines[[#This Row],[first_contribution_to_fund]]),_xlfn.ISFORMULA(tblLines[[#This Row],[out_of_cycle]]),_xlfn.ISFORMULA(tblLines[[#This Row],[next_standard_payday]]),_xlfn.ISFORMULA(tblLines[[#This Row],[defined_benefit]])),1,0)</f>
        <v>0</v>
      </c>
      <c r="Q8" s="10">
        <f>IF(ISNUMBER(tblLines[[#This Row],[matched_amount]]),tblLines[[#This Row],[matched_amount]],IF(ISNUMBER(tblLines[[#This Row],[remitted_amount]]),tblLines[[#This Row],[remitted_amount]],tblLines[[#This Row],[sg_amount]]))</f>
        <v>900</v>
      </c>
      <c r="R8" s="11" t="str">
        <f>IF(AND(tblLines[[#This Row],[Flag_ooc]]=1,ISNUMBER(tblLines[[#This Row],[next_standard_payday]])),WORKDAY.INTL(tblLines[[#This Row],[next_standard_payday]],7,1,tblHolidays[date]),"")</f>
        <v/>
      </c>
      <c r="S8" s="11" t="str">
        <f>IF(tblLines[[#This Row],[Flag_ftf]]=1,WORKDAY.INTL(tblLines[[#This Row],[payment_date]],20,1,tblHolidays[date]),"")</f>
        <v/>
      </c>
      <c r="T8" s="11" t="str">
        <f>IF(OR(tblLines[[#This Row],[Flag_db]]=1,NOT(ISNUMBER(tblLines[[#This Row],[payment_date]]))),"",IF(OR(tblLines[[#This Row],[Flag_ooc]]=1,tblLines[[#This Row],[Flag_ftf]]=1),MAX(tblLines[[#This Row],[Due_ooc]],tblLines[[#This Row],[Due_ftf]]),WORKDAY.INTL(tblLines[[#This Row],[payment_date]],7,1,tblHolidays[date])))</f>
        <v/>
      </c>
      <c r="U8" s="9" t="str">
        <f>IF(tblLines[[#This Row],[Flag_db]]=1,"SKIP_DB",IF(tblLines[[#This Row],[Flag_ooc]]=1,IF(AND(tblLines[[#This Row],[Flag_ftf]]=1,tblLines[[#This Row],[Due_ftf]]&gt;tblLines[[#This Row],[Due_ooc]]),"EXTENDED_20BD","OUT_OF_CYCLE"),IF(tblLines[[#This Row],[Flag_ftf]]=1,"EXTENDED_20BD","USUAL_7BD")))</f>
        <v>SKIP_DB</v>
      </c>
      <c r="V8" s="11">
        <f>IF(ISNUMBER(tblLines[[#This Row],[payment_date]]),EDATE(tblLines[[#This Row],[payment_date]]-1,-12)+1,"")</f>
        <v>45847</v>
      </c>
      <c r="W8" s="11">
        <f>IF(AND(ISNUMBER(tblLines[[#This Row],[fund_received_date]]),tblLines[[#This Row],[fund_received_date]]&lt;=Summary!$B$2),tblLines[[#This Row],[fund_received_date]],"")</f>
        <v>46216</v>
      </c>
      <c r="X8" s="11">
        <f>IF(AND(ISNUMBER(tblLines[[#This Row],[remitted_date]]),tblLines[[#This Row],[remitted_date]]&lt;=Summary!$B$2),tblLines[[#This Row],[remitted_date]],"")</f>
        <v>46216</v>
      </c>
      <c r="Y8" s="10">
        <f>IF(tblLines[[#This Row],[Settled]]&lt;&gt;"",MIN(ROUND(tblLines[[#This Row],[Cap]],2),ROUND(tblLines[[#This Row],[sg_amount]],2)),0)</f>
        <v>900</v>
      </c>
      <c r="Z8" s="10">
        <f>IF(ISNUMBER(tblLines[[#This Row],[remitted_amount]]),IF(tblLines[[#This Row],[Remit]]&lt;&gt;"",MIN(ROUND(tblLines[[#This Row],[remitted_amount]],2),ROUND(tblLines[[#This Row],[sg_amount]],2)),0),IF(tblLines[[#This Row],[Remit]]&lt;&gt;"",ROUND(tblLines[[#This Row],[sg_amount]],2),0))</f>
        <v>900</v>
      </c>
      <c r="AA8" s="9" t="str">
        <f>IF(OR(tblLines[[#This Row],[Own_due]]="",tblLines[[#This Row],[sg_amount]]&lt;=0,tblLines[[#This Row],[Flag_db]]=1,tblLines[[#This Row],[Cap]]&lt;=0),"impossible",IF(ISNUMBER(tblLines[[#This Row],[fund_received_date]]),IF(tblLines[[#This Row],[fund_received_date]]&lt;tblLines[[#This Row],[Earliest_prepay]],"impossible",IF(tblLines[[#This Row],[fund_received_date]]&lt;=Summary!$B$2,IF(OR(tblLines[[#This Row],[fund_received_date]]&lt;tblLines[[#This Row],[payment_date]],tblLines[[#This Row],[fund_received_date]]&lt;=tblLines[[#This Row],[Own_due]]),"confirmed",IF(tblLines[[#This Row],[fund_received_date]]&gt;tblLines[[#This Row],[Own_due]],"impossible","possible")),IF(tblLines[[#This Row],[fund_received_date]]&lt;=tblLines[[#This Row],[Own_due]],"possible","impossible"))),IF(AND(ISNUMBER(tblLines[[#This Row],[remitted_date]]),tblLines[[#This Row],[remitted_date]]&gt;tblLines[[#This Row],[Own_due]]),"impossible","possible")))</f>
        <v>impossible</v>
      </c>
      <c r="AB8" s="11" t="str">
        <f>IF(OR(tblLines[[#This Row],[Flag_db]]=1,tblLines[[#This Row],[Own_due]]=""),"",_xlfn.MAXIFS(tblLines[Own_due],tblLines[employee_id],tblLines[[#This Row],[employee_id]],tblLines[payment_date],"&lt;"&amp;tblLines[[#This Row],[payment_date]],tblLines[Evidence_own],"confirmed"))</f>
        <v/>
      </c>
      <c r="AC8" s="11" t="str">
        <f>IF(OR(tblLines[[#This Row],[Flag_db]]=1,tblLines[[#This Row],[Own_due]]=""),"",_xlfn.MAXIFS(tblLines[Own_due],tblLines[employee_id],tblLines[[#This Row],[employee_id]],tblLines[payment_date],"&lt;"&amp;tblLines[[#This Row],[payment_date]],tblLines[Evidence_own],"&lt;&gt;impossible"))</f>
        <v/>
      </c>
      <c r="AD8" s="11" t="str">
        <f>IF(tblLines[[#This Row],[Own_due]]="","",IF(AND(ISNUMBER(tblLines[[#This Row],[Confirmed_latest]]),tblLines[[#This Row],[Confirmed_latest]]&gt;tblLines[[#This Row],[Own_due]]),tblLines[[#This Row],[Confirmed_latest]],tblLines[[#This Row],[Own_due]]))</f>
        <v/>
      </c>
      <c r="AE8" s="9" t="str">
        <f>IF(tblLines[[#This Row],[Own_due]]="",tblLines[[#This Row],[Own_pathway]],IF(AND(ISNUMBER(tblLines[[#This Row],[Confirmed_latest]]),tblLines[[#This Row],[Confirmed_latest]]&gt;tblLines[[#This Row],[Own_due]]),"ITEM4_ALIGNED",tblLines[[#This Row],[Own_pathway]]))</f>
        <v>SKIP_DB</v>
      </c>
      <c r="AF8" s="11" t="str">
        <f>IF(tblLines[[#This Row],[Final_due]]="","",IF(AND(ISNUMBER(tblLines[[#This Row],[Possible_latest]]),tblLines[[#This Row],[Possible_latest]]&gt;tblLines[[#This Row],[Final_due]]),tblLines[[#This Row],[Possible_latest]],""))</f>
        <v/>
      </c>
      <c r="AG8" s="9" t="str">
        <f>IF(tblLines[[#This Row],[Final_due]]="","",IF((tblLines[[#This Row],[Final_due]]&gt;Summary!$B$6),1,0))</f>
        <v/>
      </c>
      <c r="AH8" s="9" t="str">
        <f>IF(tblLines[[#This Row],[Flag_db]]=1,"DB",IF(tblLines[[#This Row],[Final_due]]="","",IF(tblLines[[#This Row],[sg_amount]]&lt;=0,"NIL",IF(tblLines[[#This Row],[Settled]]&lt;&gt;"",IF(tblLines[[#This Row],[Settled]]&lt;tblLines[[#This Row],[payment_date]],IF(tblLines[[#This Row],[Settled]]&gt;=tblLines[[#This Row],[Earliest_prepay]],IF((tblLines[[#This Row],[Receipt_credit]]&gt;=tblLines[[#This Row],[sg_amount]]),"A1",IF(tblLines[[#This Row],[Final_due]]&gt;=Summary!$B$2,"A2",IF(OR((tblLines[[#This Row],[Final_due]]&gt;Summary!$B$6),AND((tblLines[[#This Row],[Possible_item4]]&lt;&gt;""),Summary!$B$2&lt;=tblLines[[#This Row],[Possible_item4]])),"A3","A4"))),IF(tblLines[[#This Row],[Final_due]]&gt;=Summary!$B$2,"S1",IF(OR((tblLines[[#This Row],[Final_due]]&gt;Summary!$B$6),AND((tblLines[[#This Row],[Possible_item4]]&lt;&gt;""),Summary!$B$2&lt;=tblLines[[#This Row],[Possible_item4]])),"S2","S3"))),IF(AND((tblLines[[#This Row],[Possible_item4]]&lt;&gt;""),tblLines[[#This Row],[Final_due]]&lt;tblLines[[#This Row],[Settled]],tblLines[[#This Row],[Settled]]&lt;=tblLines[[#This Row],[Possible_item4]]),IF((tblLines[[#This Row],[Receipt_credit]]&gt;=tblLines[[#This Row],[sg_amount]]),"B1",IF(Summary!$B$2&lt;=tblLines[[#This Row],[Possible_item4]],"B2","B3")),IF(AND((tblLines[[#This Row],[Final_due]]&gt;Summary!$B$6),tblLines[[#This Row],[Settled]]&gt;tblLines[[#This Row],[Final_due]]),IF((tblLines[[#This Row],[Receipt_credit]]&gt;=tblLines[[#This Row],[sg_amount]]),"C1","C2"),IF(tblLines[[#This Row],[Settled]]&lt;=tblLines[[#This Row],[Final_due]],IF((tblLines[[#This Row],[Receipt_credit]]&gt;=tblLines[[#This Row],[sg_amount]]),"D1",IF(OR((tblLines[[#This Row],[Final_due]]&gt;Summary!$B$6),AND((tblLines[[#This Row],[Possible_item4]]&lt;&gt;""),Summary!$B$2&lt;=tblLines[[#This Row],[Possible_item4]])),"D2",IF(tblLines[[#This Row],[Final_due]]&lt;Summary!$B$2,"D3","D4"))),"E")))),IF(AND(tblLines[[#This Row],[Remit]]&lt;&gt;"",tblLines[[#This Row],[sg_amount]]-tblLines[[#This Row],[Credit]]&lt;=0),IF(AND((tblLines[[#This Row],[Possible_item4]]&lt;&gt;""),tblLines[[#This Row],[Final_due]]&lt;tblLines[[#This Row],[Remit]],tblLines[[#This Row],[Remit]]&lt;=tblLines[[#This Row],[Possible_item4]]),"R1",IF(AND((tblLines[[#This Row],[Final_due]]&gt;Summary!$B$6),tblLines[[#This Row],[Remit]]&gt;tblLines[[#This Row],[Final_due]]),"R2",IF(tblLines[[#This Row],[Remit]]&lt;=tblLines[[#This Row],[Final_due]],"R3","R4"))),IF(tblLines[[#This Row],[Final_due]]&lt;Summary!$B$2,IF(OR((tblLines[[#This Row],[Final_due]]&gt;Summary!$B$6),AND((tblLines[[#This Row],[Possible_item4]]&lt;&gt;""),Summary!$B$2&lt;=tblLines[[#This Row],[Possible_item4]])),"N1","N2"),"N3"))))))</f>
        <v>DB</v>
      </c>
      <c r="AI8" s="9" t="str">
        <f>IF(tblLines[[#This Row],[Branch]]="","",INDEX(tblCodes[verdict],MATCH(tblLines[[#This Row],[Branch]],tblCodes[code],0)))</f>
        <v>SKIPPED</v>
      </c>
      <c r="AJ8" s="9" t="str">
        <f>IF(tblLines[[#This Row],[Branch]]="","",T(INDEX(tblCodes[unassessable],MATCH(tblLines[[#This Row],[Branch]],tblCodes[code],0))))</f>
        <v/>
      </c>
      <c r="AK8" s="9">
        <f>IF(tblLines[[#This Row],[Branch]]="",0,INDEX(tblCodes[exposed],MATCH(tblLines[[#This Row],[Branch]],tblCodes[code],0)))</f>
        <v>0</v>
      </c>
      <c r="AL8" s="9">
        <f>IF(tblLines[[#This Row],[Branch]]="",0,INDEX(tblCodes[stale],MATCH(tblLines[[#This Row],[Branch]],tblCodes[code],0)))</f>
        <v>0</v>
      </c>
      <c r="AM8" s="10">
        <f>IF(tblLines[[#This Row],[Branch]]="",0,INDEX(tblCodes[otrc],MATCH(tblLines[[#This Row],[Branch]],tblCodes[code],0))*tblLines[[#This Row],[Receipt_credit]])</f>
        <v>0</v>
      </c>
      <c r="AN8" s="10" t="str">
        <f>IF((tblLines[[#This Row],[Exposed]]=1),MAX(ROUND(tblLines[[#This Row],[sg_amount]],2)-tblLines[[#This Row],[OTRC]],0),"")</f>
        <v/>
      </c>
      <c r="AO8" s="10" t="str">
        <f>IF((tblLines[[#This Row],[Exposed]]=1),IF(AND(tblLines[[#This Row],[Settled]]&lt;&gt;"",tblLines[[#This Row],[Stale_prepay]]=0,tblLines[[#This Row],[Settled]]&gt;tblLines[[#This Row],[Final_due]],OR(Summary!$B$3="",tblLines[[#This Row],[Settled]]&lt;Summary!$B$3)),MIN(tblLines[[#This Row],[Receipt_credit]],tblLines[[#This Row],[Base_shortfall]]),0),"")</f>
        <v/>
      </c>
      <c r="AP8" s="10" t="str">
        <f>IF((tblLines[[#This Row],[Exposed]]=1),MAX(tblLines[[#This Row],[Base_shortfall]]-tblLines[[#This Row],[Offset_s18D]],0),"")</f>
        <v/>
      </c>
      <c r="AQ8" s="9" t="str">
        <f>IF((tblLines[[#This Row],[Exposed]]=1),IF(AND(tblLines[[#This Row],[Settled]]&lt;&gt;"",tblLines[[#This Row],[Stale_prepay]]=0,(tblLines[[#This Row],[Receipt_credit]]&gt;=tblLines[[#This Row],[sg_amount]])),"fund receipt",IF(AND(tblLines[[#This Row],[Settled]]&lt;&gt;"",tblLines[[#This Row],[Stale_prepay]]=0),"as-at date (shortfall remains after part receipt)",IF(AND(OR(tblLines[[#This Row],[Settled]]&lt;&gt;"",tblLines[[#This Row],[Remit]]&lt;&gt;""),tblLines[[#This Row],[Stale_prepay]]=0),"as-at date (no fund receipt recorded)","as-at date (nothing applied to this payday)"))),"")</f>
        <v/>
      </c>
      <c r="AR8" s="11" t="str">
        <f>IF((tblLines[[#This Row],[Exposed]]=1),IF(AND(tblLines[[#This Row],[Settled]]&lt;&gt;"",tblLines[[#This Row],[Stale_prepay]]=0,(tblLines[[#This Row],[Receipt_credit]]&gt;=tblLines[[#This Row],[sg_amount]])),tblLines[[#This Row],[Settled]],Summary!$B$2),"")</f>
        <v/>
      </c>
      <c r="AS8" s="11" t="str">
        <f>IF((tblLines[[#This Row],[Exposed]]=1),MIN(IF(Summary!$B$3="",DATE(2030,12,31),Summary!$B$3-1),IF(AND(tblLines[[#This Row],[Settled]]&lt;&gt;"",tblLines[[#This Row],[Stale_prepay]]=0,(tblLines[[#This Row],[Receipt_credit]]&gt;=tblLines[[#This Row],[sg_amount]]),tblLines[[#This Row],[Final_shortfall]]=0),tblLines[[#This Row],[Settled]],Summary!$B$2)),"")</f>
        <v/>
      </c>
      <c r="AT8" s="9" t="str">
        <f>IF((tblLines[[#This Row],[Exposed]]=1),IF(tblLines[[#This Row],[Past_horizon]]=1,"",MAX(tblLines[[#This Row],[Outstanding_to]]-tblLines[[#This Row],[Final_due]],0)),"")</f>
        <v/>
      </c>
      <c r="AU8" s="10" t="str">
        <f>IF((tblLines[[#This Row],[Exposed]]=1),IF(tblLines[[#This Row],[NEC_end]]&gt;tblLines[[#This Row],[Final_due]],tblLines[[#This Row],[Base_shortfall]]*(EXP(SUMPRODUCT((((((tblLines[[#This Row],[NEC_end]]+tblGic[to]-ABS(tblLines[[#This Row],[NEC_end]]-tblGic[to]))/2)-(((tblLines[[#This Row],[Final_due]]+1)+tblGic[from]+ABS((tblLines[[#This Row],[Final_due]]+1)-tblGic[from]))/2)+1)&gt;0)*(((tblLines[[#This Row],[NEC_end]]+tblGic[to]-ABS(tblLines[[#This Row],[NEC_end]]-tblGic[to]))/2)-(((tblLines[[#This Row],[Final_due]]+1)+tblGic[from]+ABS((tblLines[[#This Row],[Final_due]]+1)-tblGic[from]))/2)+1))*LN(1+tblGic[annual_pct]/100/tblGic[divisor])))-1),0),"")</f>
        <v/>
      </c>
      <c r="AV8" s="9" t="str">
        <f>IF((tblLines[[#This Row],[Exposed]]=1),IF(tblLines[[#This Row],[NEC_end]]&gt;Summary!$B$7,1,0),"")</f>
        <v/>
      </c>
      <c r="AW8" s="10" t="str">
        <f>IF((tblLines[[#This Row],[Exposed]]=1),ROUND(tblLines[[#This Row],[Final_shortfall]],2),"")</f>
        <v/>
      </c>
      <c r="AX8" s="10" t="str">
        <f>IF((tblLines[[#This Row],[Exposed]]=1),ROUND(tblLines[[#This Row],[NEC]],2),"")</f>
        <v/>
      </c>
      <c r="AY8" s="10" t="str">
        <f>IF((tblLines[[#This Row],[Exposed]]=1),0,"")</f>
        <v/>
      </c>
      <c r="AZ8" s="10" t="str">
        <f>IF((tblLines[[#This Row],[Exposed]]=1),ROUND(0.6*(tblLines[[#This Row],[Final_shortfall]]+tblLines[[#This Row],[NEC]]),2),"")</f>
        <v/>
      </c>
      <c r="BA8" s="10" t="str">
        <f>IF((tblLines[[#This Row],[Exposed]]=1),tblLines[[#This Row],[Shortfall_r]]+tblLines[[#This Row],[NEC_r]]+tblLines[[#This Row],[Uplift_best]],"")</f>
        <v/>
      </c>
      <c r="BB8" s="10" t="str">
        <f>IF((tblLines[[#This Row],[Exposed]]=1),tblLines[[#This Row],[Shortfall_r]]+tblLines[[#This Row],[NEC_r]]+tblLines[[#This Row],[Uplift_worst]],"")</f>
        <v/>
      </c>
      <c r="BC8" s="9">
        <f>IF(AND(tblLines[[#This Row],[Flag_db]]&lt;&gt;1,ISNUMBER(tblLines[[#This Row],[sg_amount]]),tblLines[[#This Row],[sg_amount]]&gt;0,tblLines[[#This Row],[Cap]]&gt;0,OR(ISNUMBER(tblLines[[#This Row],[fund_received_date]]),ISNUMBER(tblLines[[#This Row],[remitted_date]])),IF(ISNUMBER(tblLines[[#This Row],[fund_received_date]]),tblLines[[#This Row],[fund_received_date]],tblLines[[#This Row],[remitted_date]])&lt;=DATE(2026,7,28)),1,0)</f>
        <v>0</v>
      </c>
      <c r="BD8" s="9">
        <f>IF(tblLines[[#This Row],[Settled]]&lt;&gt;"",1,0)</f>
        <v>1</v>
      </c>
      <c r="BE8" s="9">
        <f>IF(AND(tblLines[[#This Row],[Verdict]]&lt;&gt;"",tblLines[[#This Row],[Verdict]]&lt;&gt;"SKIPPED",ISNUMBER(tblLines[[#This Row],[sg_amount]]),tblLines[[#This Row],[sg_amount]]&gt;0),1,0)</f>
        <v>0</v>
      </c>
      <c r="BF8" s="9">
        <f>IF(COUNTIFS(tblLines[employee_id],tblLines[[#This Row],[employee_id]],tblLines[payment_date],tblLines[[#This Row],[payment_date]],tblLines[sg_amount],tblLines[[#This Row],[sg_amount]],tblLines[remitted_date],tblLines[[#This Row],[remitted_date]]&amp;"",tblLines[fund_received_date],tblLines[[#This Row],[fund_received_date]]&amp;"")&gt;1,1,0)</f>
        <v>0</v>
      </c>
    </row>
    <row r="9" spans="1:58" x14ac:dyDescent="0.25">
      <c r="A9" s="6" t="s">
        <v>67</v>
      </c>
      <c r="B9" s="7">
        <v>46226</v>
      </c>
      <c r="C9" s="8">
        <v>612</v>
      </c>
      <c r="D9" s="7">
        <v>46239</v>
      </c>
      <c r="E9" s="8"/>
      <c r="F9" s="8"/>
      <c r="G9" s="7">
        <v>46240</v>
      </c>
      <c r="H9" s="6" t="s">
        <v>68</v>
      </c>
      <c r="I9" s="6" t="s">
        <v>68</v>
      </c>
      <c r="J9" s="7"/>
      <c r="K9" s="6" t="s">
        <v>68</v>
      </c>
      <c r="L9" s="9">
        <f>IF(OR(LOWER(TRIM(tblLines[[#This Row],[defined_benefit]]&amp;""))={"1","t","true","y","yes"}),1,IF(OR(LOWER(TRIM(tblLines[[#This Row],[defined_benefit]]&amp;""))={"","0","f","false","n","no"}),0,""))</f>
        <v>0</v>
      </c>
      <c r="M9" s="9">
        <f>IF(OR(LOWER(TRIM(tblLines[[#This Row],[out_of_cycle]]&amp;""))={"1","t","true","y","yes"}),1,IF(OR(LOWER(TRIM(tblLines[[#This Row],[out_of_cycle]]&amp;""))={"","0","f","false","n","no"}),0,""))</f>
        <v>0</v>
      </c>
      <c r="N9" s="9">
        <f>IF(OR(LOWER(TRIM(tblLines[[#This Row],[first_contribution_to_fund]]&amp;""))={"1","t","true","y","yes"}),1,IF(OR(LOWER(TRIM(tblLines[[#This Row],[first_contribution_to_fund]]&amp;""))={"","0","f","false","n","no"}),0,""))</f>
        <v>0</v>
      </c>
      <c r="O9" s="9" t="str">
        <f>TRIM(IF(OR(AND(tblLines[[#This Row],[payment_date]]&lt;&gt;"",NOT(ISNUMBER(tblLines[[#This Row],[payment_date]]))),AND(tblLines[[#This Row],[remitted_date]]&lt;&gt;"",NOT(ISNUMBER(tblLines[[#This Row],[remitted_date]]))),AND(tblLines[[#This Row],[fund_received_date]]&lt;&gt;"",NOT(ISNUMBER(tblLines[[#This Row],[fund_received_date]]))),AND(tblLines[[#This Row],[next_standard_payday]]&lt;&gt;"",NOT(ISNUMBER(tblLines[[#This Row],[next_standard_payday]])))),"date ","")&amp;IF(NOT(ISNUMBER(tblLines[[#This Row],[payment_date]])),"payment_date ","")&amp;IF(AND(ISNUMBER(tblLines[[#This Row],[payment_date]]),tblLines[[#This Row],[payment_date]]&lt;DATE(2026,7,1)),"pre-1-Jul-2026 ","")&amp;IF(OR(AND(tblLines[[#This Row],[sg_amount]]&lt;&gt;"",OR(NOT(ISNUMBER(tblLines[[#This Row],[sg_amount]])),tblLines[[#This Row],[sg_amount]]&lt;0)),AND(tblLines[[#This Row],[remitted_amount]]&lt;&gt;"",OR(NOT(ISNUMBER(tblLines[[#This Row],[remitted_amount]])),tblLines[[#This Row],[remitted_amount]]&lt;0)),AND(tblLines[[#This Row],[matched_amount]]&lt;&gt;"",OR(NOT(ISNUMBER(tblLines[[#This Row],[matched_amount]])),tblLines[[#This Row],[matched_amount]]&lt;0))),"amount ","")&amp;IF(NOT(ISNUMBER(tblLines[[#This Row],[sg_amount]])),"sg_amount ","")&amp;IF(OR(tblLines[[#This Row],[Flag_ftf]]="",tblLines[[#This Row],[Flag_ooc]]="",tblLines[[#This Row],[Flag_db]]=""),"yes/no ","")&amp;IF(AND(ISNUMBER(tblLines[[#This Row],[remitted_amount]]),ISNUMBER(tblLines[[#This Row],[sg_amount]]),tblLines[[#This Row],[remitted_amount]]&gt;tblLines[[#This Row],[sg_amount]]),"remitted_amount&gt;sg ","")&amp;IF(AND(ISNUMBER(tblLines[[#This Row],[remitted_amount]]),NOT(ISNUMBER(tblLines[[#This Row],[remitted_date]]))),"remitted_amount-needs-date ","")&amp;IF(AND(ISNUMBER(tblLines[[#This Row],[matched_amount]]),ISNUMBER(tblLines[[#This Row],[sg_amount]]),tblLines[[#This Row],[matched_amount]]&gt;tblLines[[#This Row],[sg_amount]]),"matched_amount&gt;sg ","")&amp;IF(AND(ISNUMBER(tblLines[[#This Row],[matched_amount]]),ISNUMBER(tblLines[[#This Row],[remitted_amount]]),tblLines[[#This Row],[remitted_amount]]&gt;tblLines[[#This Row],[matched_amount]]),"remitted_amount&gt;matched ","")&amp;IF(AND(ISNUMBER(tblLines[[#This Row],[matched_amount]]),ISNUMBER(tblLines[[#This Row],[sg_amount]]),tblLines[[#This Row],[matched_amount]]&lt;tblLines[[#This Row],[sg_amount]],ISNUMBER(tblLines[[#This Row],[remitted_date]]),NOT(ISNUMBER(tblLines[[#This Row],[remitted_amount]]))),"partial-match-needs-remitted_amount ","")&amp;IF(AND(ISNUMBER(tblLines[[#This Row],[fund_received_date]]),ISNUMBER(tblLines[[#This Row],[remitted_date]]),tblLines[[#This Row],[fund_received_date]]&lt;tblLines[[#This Row],[remitted_date]]),"receipt-before-remittance ","")&amp;IF(AND(tblLines[[#This Row],[Flag_ooc]]=1,NOT(ISNUMBER(tblLines[[#This Row],[next_standard_payday]]))),"out_of_cycle-needs-next_standard_payday ","")&amp;IF(AND(tblLines[[#This Row],[Flag_ooc]]=1,ISNUMBER(tblLines[[#This Row],[next_standard_payday]]),ISNUMBER(tblLines[[#This Row],[payment_date]]),tblLines[[#This Row],[next_standard_payday]]&lt;=tblLines[[#This Row],[payment_date]]),"next_standard_payday-not-after-payday ",""))</f>
        <v/>
      </c>
      <c r="P9" s="9">
        <f>IF(OR(_xlfn.ISFORMULA(tblLines[[#This Row],[employee_id]]),_xlfn.ISFORMULA(tblLines[[#This Row],[payment_date]]),_xlfn.ISFORMULA(tblLines[[#This Row],[sg_amount]]),_xlfn.ISFORMULA(tblLines[[#This Row],[remitted_date]]),_xlfn.ISFORMULA(tblLines[[#This Row],[remitted_amount]]),_xlfn.ISFORMULA(tblLines[[#This Row],[matched_amount]]),_xlfn.ISFORMULA(tblLines[[#This Row],[fund_received_date]]),_xlfn.ISFORMULA(tblLines[[#This Row],[first_contribution_to_fund]]),_xlfn.ISFORMULA(tblLines[[#This Row],[out_of_cycle]]),_xlfn.ISFORMULA(tblLines[[#This Row],[next_standard_payday]]),_xlfn.ISFORMULA(tblLines[[#This Row],[defined_benefit]])),1,0)</f>
        <v>0</v>
      </c>
      <c r="Q9" s="10">
        <f>IF(ISNUMBER(tblLines[[#This Row],[matched_amount]]),tblLines[[#This Row],[matched_amount]],IF(ISNUMBER(tblLines[[#This Row],[remitted_amount]]),tblLines[[#This Row],[remitted_amount]],tblLines[[#This Row],[sg_amount]]))</f>
        <v>612</v>
      </c>
      <c r="R9" s="11" t="str">
        <f>IF(AND(tblLines[[#This Row],[Flag_ooc]]=1,ISNUMBER(tblLines[[#This Row],[next_standard_payday]])),WORKDAY.INTL(tblLines[[#This Row],[next_standard_payday]],7,1,tblHolidays[date]),"")</f>
        <v/>
      </c>
      <c r="S9" s="11" t="str">
        <f>IF(tblLines[[#This Row],[Flag_ftf]]=1,WORKDAY.INTL(tblLines[[#This Row],[payment_date]],20,1,tblHolidays[date]),"")</f>
        <v/>
      </c>
      <c r="T9" s="11">
        <f>IF(OR(tblLines[[#This Row],[Flag_db]]=1,NOT(ISNUMBER(tblLines[[#This Row],[payment_date]]))),"",IF(OR(tblLines[[#This Row],[Flag_ooc]]=1,tblLines[[#This Row],[Flag_ftf]]=1),MAX(tblLines[[#This Row],[Due_ooc]],tblLines[[#This Row],[Due_ftf]]),WORKDAY.INTL(tblLines[[#This Row],[payment_date]],7,1,tblHolidays[date])))</f>
        <v>46238</v>
      </c>
      <c r="U9" s="9" t="str">
        <f>IF(tblLines[[#This Row],[Flag_db]]=1,"SKIP_DB",IF(tblLines[[#This Row],[Flag_ooc]]=1,IF(AND(tblLines[[#This Row],[Flag_ftf]]=1,tblLines[[#This Row],[Due_ftf]]&gt;tblLines[[#This Row],[Due_ooc]]),"EXTENDED_20BD","OUT_OF_CYCLE"),IF(tblLines[[#This Row],[Flag_ftf]]=1,"EXTENDED_20BD","USUAL_7BD")))</f>
        <v>USUAL_7BD</v>
      </c>
      <c r="V9" s="11">
        <f>IF(ISNUMBER(tblLines[[#This Row],[payment_date]]),EDATE(tblLines[[#This Row],[payment_date]]-1,-12)+1,"")</f>
        <v>45861</v>
      </c>
      <c r="W9" s="11">
        <f>IF(AND(ISNUMBER(tblLines[[#This Row],[fund_received_date]]),tblLines[[#This Row],[fund_received_date]]&lt;=Summary!$B$2),tblLines[[#This Row],[fund_received_date]],"")</f>
        <v>46240</v>
      </c>
      <c r="X9" s="11">
        <f>IF(AND(ISNUMBER(tblLines[[#This Row],[remitted_date]]),tblLines[[#This Row],[remitted_date]]&lt;=Summary!$B$2),tblLines[[#This Row],[remitted_date]],"")</f>
        <v>46239</v>
      </c>
      <c r="Y9" s="10">
        <f>IF(tblLines[[#This Row],[Settled]]&lt;&gt;"",MIN(ROUND(tblLines[[#This Row],[Cap]],2),ROUND(tblLines[[#This Row],[sg_amount]],2)),0)</f>
        <v>612</v>
      </c>
      <c r="Z9" s="10">
        <f>IF(ISNUMBER(tblLines[[#This Row],[remitted_amount]]),IF(tblLines[[#This Row],[Remit]]&lt;&gt;"",MIN(ROUND(tblLines[[#This Row],[remitted_amount]],2),ROUND(tblLines[[#This Row],[sg_amount]],2)),0),IF(tblLines[[#This Row],[Remit]]&lt;&gt;"",ROUND(tblLines[[#This Row],[sg_amount]],2),0))</f>
        <v>612</v>
      </c>
      <c r="AA9" s="9" t="str">
        <f>IF(OR(tblLines[[#This Row],[Own_due]]="",tblLines[[#This Row],[sg_amount]]&lt;=0,tblLines[[#This Row],[Flag_db]]=1,tblLines[[#This Row],[Cap]]&lt;=0),"impossible",IF(ISNUMBER(tblLines[[#This Row],[fund_received_date]]),IF(tblLines[[#This Row],[fund_received_date]]&lt;tblLines[[#This Row],[Earliest_prepay]],"impossible",IF(tblLines[[#This Row],[fund_received_date]]&lt;=Summary!$B$2,IF(OR(tblLines[[#This Row],[fund_received_date]]&lt;tblLines[[#This Row],[payment_date]],tblLines[[#This Row],[fund_received_date]]&lt;=tblLines[[#This Row],[Own_due]]),"confirmed",IF(tblLines[[#This Row],[fund_received_date]]&gt;tblLines[[#This Row],[Own_due]],"impossible","possible")),IF(tblLines[[#This Row],[fund_received_date]]&lt;=tblLines[[#This Row],[Own_due]],"possible","impossible"))),IF(AND(ISNUMBER(tblLines[[#This Row],[remitted_date]]),tblLines[[#This Row],[remitted_date]]&gt;tblLines[[#This Row],[Own_due]]),"impossible","possible")))</f>
        <v>impossible</v>
      </c>
      <c r="AB9" s="11">
        <f>IF(OR(tblLines[[#This Row],[Flag_db]]=1,tblLines[[#This Row],[Own_due]]=""),"",_xlfn.MAXIFS(tblLines[Own_due],tblLines[employee_id],tblLines[[#This Row],[employee_id]],tblLines[payment_date],"&lt;"&amp;tblLines[[#This Row],[payment_date]],tblLines[Evidence_own],"confirmed"))</f>
        <v>46223</v>
      </c>
      <c r="AC9" s="11">
        <f>IF(OR(tblLines[[#This Row],[Flag_db]]=1,tblLines[[#This Row],[Own_due]]=""),"",_xlfn.MAXIFS(tblLines[Own_due],tblLines[employee_id],tblLines[[#This Row],[employee_id]],tblLines[payment_date],"&lt;"&amp;tblLines[[#This Row],[payment_date]],tblLines[Evidence_own],"&lt;&gt;impossible"))</f>
        <v>46223</v>
      </c>
      <c r="AD9" s="11">
        <f>IF(tblLines[[#This Row],[Own_due]]="","",IF(AND(ISNUMBER(tblLines[[#This Row],[Confirmed_latest]]),tblLines[[#This Row],[Confirmed_latest]]&gt;tblLines[[#This Row],[Own_due]]),tblLines[[#This Row],[Confirmed_latest]],tblLines[[#This Row],[Own_due]]))</f>
        <v>46238</v>
      </c>
      <c r="AE9" s="9" t="str">
        <f>IF(tblLines[[#This Row],[Own_due]]="",tblLines[[#This Row],[Own_pathway]],IF(AND(ISNUMBER(tblLines[[#This Row],[Confirmed_latest]]),tblLines[[#This Row],[Confirmed_latest]]&gt;tblLines[[#This Row],[Own_due]]),"ITEM4_ALIGNED",tblLines[[#This Row],[Own_pathway]]))</f>
        <v>USUAL_7BD</v>
      </c>
      <c r="AF9" s="11" t="str">
        <f>IF(tblLines[[#This Row],[Final_due]]="","",IF(AND(ISNUMBER(tblLines[[#This Row],[Possible_latest]]),tblLines[[#This Row],[Possible_latest]]&gt;tblLines[[#This Row],[Final_due]]),tblLines[[#This Row],[Possible_latest]],""))</f>
        <v/>
      </c>
      <c r="AG9" s="9">
        <f>IF(tblLines[[#This Row],[Final_due]]="","",IF((tblLines[[#This Row],[Final_due]]&gt;Summary!$B$6),1,0))</f>
        <v>0</v>
      </c>
      <c r="AH9" s="9" t="str">
        <f>IF(tblLines[[#This Row],[Flag_db]]=1,"DB",IF(tblLines[[#This Row],[Final_due]]="","",IF(tblLines[[#This Row],[sg_amount]]&lt;=0,"NIL",IF(tblLines[[#This Row],[Settled]]&lt;&gt;"",IF(tblLines[[#This Row],[Settled]]&lt;tblLines[[#This Row],[payment_date]],IF(tblLines[[#This Row],[Settled]]&gt;=tblLines[[#This Row],[Earliest_prepay]],IF((tblLines[[#This Row],[Receipt_credit]]&gt;=tblLines[[#This Row],[sg_amount]]),"A1",IF(tblLines[[#This Row],[Final_due]]&gt;=Summary!$B$2,"A2",IF(OR((tblLines[[#This Row],[Final_due]]&gt;Summary!$B$6),AND((tblLines[[#This Row],[Possible_item4]]&lt;&gt;""),Summary!$B$2&lt;=tblLines[[#This Row],[Possible_item4]])),"A3","A4"))),IF(tblLines[[#This Row],[Final_due]]&gt;=Summary!$B$2,"S1",IF(OR((tblLines[[#This Row],[Final_due]]&gt;Summary!$B$6),AND((tblLines[[#This Row],[Possible_item4]]&lt;&gt;""),Summary!$B$2&lt;=tblLines[[#This Row],[Possible_item4]])),"S2","S3"))),IF(AND((tblLines[[#This Row],[Possible_item4]]&lt;&gt;""),tblLines[[#This Row],[Final_due]]&lt;tblLines[[#This Row],[Settled]],tblLines[[#This Row],[Settled]]&lt;=tblLines[[#This Row],[Possible_item4]]),IF((tblLines[[#This Row],[Receipt_credit]]&gt;=tblLines[[#This Row],[sg_amount]]),"B1",IF(Summary!$B$2&lt;=tblLines[[#This Row],[Possible_item4]],"B2","B3")),IF(AND((tblLines[[#This Row],[Final_due]]&gt;Summary!$B$6),tblLines[[#This Row],[Settled]]&gt;tblLines[[#This Row],[Final_due]]),IF((tblLines[[#This Row],[Receipt_credit]]&gt;=tblLines[[#This Row],[sg_amount]]),"C1","C2"),IF(tblLines[[#This Row],[Settled]]&lt;=tblLines[[#This Row],[Final_due]],IF((tblLines[[#This Row],[Receipt_credit]]&gt;=tblLines[[#This Row],[sg_amount]]),"D1",IF(OR((tblLines[[#This Row],[Final_due]]&gt;Summary!$B$6),AND((tblLines[[#This Row],[Possible_item4]]&lt;&gt;""),Summary!$B$2&lt;=tblLines[[#This Row],[Possible_item4]])),"D2",IF(tblLines[[#This Row],[Final_due]]&lt;Summary!$B$2,"D3","D4"))),"E")))),IF(AND(tblLines[[#This Row],[Remit]]&lt;&gt;"",tblLines[[#This Row],[sg_amount]]-tblLines[[#This Row],[Credit]]&lt;=0),IF(AND((tblLines[[#This Row],[Possible_item4]]&lt;&gt;""),tblLines[[#This Row],[Final_due]]&lt;tblLines[[#This Row],[Remit]],tblLines[[#This Row],[Remit]]&lt;=tblLines[[#This Row],[Possible_item4]]),"R1",IF(AND((tblLines[[#This Row],[Final_due]]&gt;Summary!$B$6),tblLines[[#This Row],[Remit]]&gt;tblLines[[#This Row],[Final_due]]),"R2",IF(tblLines[[#This Row],[Remit]]&lt;=tblLines[[#This Row],[Final_due]],"R3","R4"))),IF(tblLines[[#This Row],[Final_due]]&lt;Summary!$B$2,IF(OR((tblLines[[#This Row],[Final_due]]&gt;Summary!$B$6),AND((tblLines[[#This Row],[Possible_item4]]&lt;&gt;""),Summary!$B$2&lt;=tblLines[[#This Row],[Possible_item4]])),"N1","N2"),"N3"))))))</f>
        <v>E</v>
      </c>
      <c r="AI9" s="9" t="str">
        <f>IF(tblLines[[#This Row],[Branch]]="","",INDEX(tblCodes[verdict],MATCH(tblLines[[#This Row],[Branch]],tblCodes[code],0)))</f>
        <v>LATE</v>
      </c>
      <c r="AJ9" s="9" t="str">
        <f>IF(tblLines[[#This Row],[Branch]]="","",T(INDEX(tblCodes[unassessable],MATCH(tblLines[[#This Row],[Branch]],tblCodes[code],0))))</f>
        <v/>
      </c>
      <c r="AK9" s="9">
        <f>IF(tblLines[[#This Row],[Branch]]="",0,INDEX(tblCodes[exposed],MATCH(tblLines[[#This Row],[Branch]],tblCodes[code],0)))</f>
        <v>1</v>
      </c>
      <c r="AL9" s="9">
        <f>IF(tblLines[[#This Row],[Branch]]="",0,INDEX(tblCodes[stale],MATCH(tblLines[[#This Row],[Branch]],tblCodes[code],0)))</f>
        <v>0</v>
      </c>
      <c r="AM9" s="10">
        <f>IF(tblLines[[#This Row],[Branch]]="",0,INDEX(tblCodes[otrc],MATCH(tblLines[[#This Row],[Branch]],tblCodes[code],0))*tblLines[[#This Row],[Receipt_credit]])</f>
        <v>0</v>
      </c>
      <c r="AN9" s="10">
        <f>IF((tblLines[[#This Row],[Exposed]]=1),MAX(ROUND(tblLines[[#This Row],[sg_amount]],2)-tblLines[[#This Row],[OTRC]],0),"")</f>
        <v>612</v>
      </c>
      <c r="AO9" s="10">
        <f>IF((tblLines[[#This Row],[Exposed]]=1),IF(AND(tblLines[[#This Row],[Settled]]&lt;&gt;"",tblLines[[#This Row],[Stale_prepay]]=0,tblLines[[#This Row],[Settled]]&gt;tblLines[[#This Row],[Final_due]],OR(Summary!$B$3="",tblLines[[#This Row],[Settled]]&lt;Summary!$B$3)),MIN(tblLines[[#This Row],[Receipt_credit]],tblLines[[#This Row],[Base_shortfall]]),0),"")</f>
        <v>612</v>
      </c>
      <c r="AP9" s="10">
        <f>IF((tblLines[[#This Row],[Exposed]]=1),MAX(tblLines[[#This Row],[Base_shortfall]]-tblLines[[#This Row],[Offset_s18D]],0),"")</f>
        <v>0</v>
      </c>
      <c r="AQ9" s="9" t="str">
        <f>IF((tblLines[[#This Row],[Exposed]]=1),IF(AND(tblLines[[#This Row],[Settled]]&lt;&gt;"",tblLines[[#This Row],[Stale_prepay]]=0,(tblLines[[#This Row],[Receipt_credit]]&gt;=tblLines[[#This Row],[sg_amount]])),"fund receipt",IF(AND(tblLines[[#This Row],[Settled]]&lt;&gt;"",tblLines[[#This Row],[Stale_prepay]]=0),"as-at date (shortfall remains after part receipt)",IF(AND(OR(tblLines[[#This Row],[Settled]]&lt;&gt;"",tblLines[[#This Row],[Remit]]&lt;&gt;""),tblLines[[#This Row],[Stale_prepay]]=0),"as-at date (no fund receipt recorded)","as-at date (nothing applied to this payday)"))),"")</f>
        <v>fund receipt</v>
      </c>
      <c r="AR9" s="11">
        <f>IF((tblLines[[#This Row],[Exposed]]=1),IF(AND(tblLines[[#This Row],[Settled]]&lt;&gt;"",tblLines[[#This Row],[Stale_prepay]]=0,(tblLines[[#This Row],[Receipt_credit]]&gt;=tblLines[[#This Row],[sg_amount]])),tblLines[[#This Row],[Settled]],Summary!$B$2),"")</f>
        <v>46240</v>
      </c>
      <c r="AS9" s="11">
        <f>IF((tblLines[[#This Row],[Exposed]]=1),MIN(IF(Summary!$B$3="",DATE(2030,12,31),Summary!$B$3-1),IF(AND(tblLines[[#This Row],[Settled]]&lt;&gt;"",tblLines[[#This Row],[Stale_prepay]]=0,(tblLines[[#This Row],[Receipt_credit]]&gt;=tblLines[[#This Row],[sg_amount]]),tblLines[[#This Row],[Final_shortfall]]=0),tblLines[[#This Row],[Settled]],Summary!$B$2)),"")</f>
        <v>46240</v>
      </c>
      <c r="AT9" s="9">
        <f>IF((tblLines[[#This Row],[Exposed]]=1),IF(tblLines[[#This Row],[Past_horizon]]=1,"",MAX(tblLines[[#This Row],[Outstanding_to]]-tblLines[[#This Row],[Final_due]],0)),"")</f>
        <v>2</v>
      </c>
      <c r="AU9" s="10">
        <f>IF((tblLines[[#This Row],[Exposed]]=1),IF(tblLines[[#This Row],[NEC_end]]&gt;tblLines[[#This Row],[Final_due]],tblLines[[#This Row],[Base_shortfall]]*(EXP(SUMPRODUCT((((((tblLines[[#This Row],[NEC_end]]+tblGic[to]-ABS(tblLines[[#This Row],[NEC_end]]-tblGic[to]))/2)-(((tblLines[[#This Row],[Final_due]]+1)+tblGic[from]+ABS((tblLines[[#This Row],[Final_due]]+1)-tblGic[from]))/2)+1)&gt;0)*(((tblLines[[#This Row],[NEC_end]]+tblGic[to]-ABS(tblLines[[#This Row],[NEC_end]]-tblGic[to]))/2)-(((tblLines[[#This Row],[Final_due]]+1)+tblGic[from]+ABS((tblLines[[#This Row],[Final_due]]+1)-tblGic[from]))/2)+1))*LN(1+tblGic[annual_pct]/100/tblGic[divisor])))-1),0),"")</f>
        <v>0.38335645312715005</v>
      </c>
      <c r="AV9" s="9">
        <f>IF((tblLines[[#This Row],[Exposed]]=1),IF(tblLines[[#This Row],[NEC_end]]&gt;Summary!$B$7,1,0),"")</f>
        <v>0</v>
      </c>
      <c r="AW9" s="10">
        <f>IF((tblLines[[#This Row],[Exposed]]=1),ROUND(tblLines[[#This Row],[Final_shortfall]],2),"")</f>
        <v>0</v>
      </c>
      <c r="AX9" s="10">
        <f>IF((tblLines[[#This Row],[Exposed]]=1),ROUND(tblLines[[#This Row],[NEC]],2),"")</f>
        <v>0.38</v>
      </c>
      <c r="AY9" s="10">
        <f>IF((tblLines[[#This Row],[Exposed]]=1),0,"")</f>
        <v>0</v>
      </c>
      <c r="AZ9" s="10">
        <f>IF((tblLines[[#This Row],[Exposed]]=1),ROUND(0.6*(tblLines[[#This Row],[Final_shortfall]]+tblLines[[#This Row],[NEC]]),2),"")</f>
        <v>0.23</v>
      </c>
      <c r="BA9" s="10">
        <f>IF((tblLines[[#This Row],[Exposed]]=1),tblLines[[#This Row],[Shortfall_r]]+tblLines[[#This Row],[NEC_r]]+tblLines[[#This Row],[Uplift_best]],"")</f>
        <v>0.38</v>
      </c>
      <c r="BB9" s="10">
        <f>IF((tblLines[[#This Row],[Exposed]]=1),tblLines[[#This Row],[Shortfall_r]]+tblLines[[#This Row],[NEC_r]]+tblLines[[#This Row],[Uplift_worst]],"")</f>
        <v>0.61</v>
      </c>
      <c r="BC9" s="9">
        <f>IF(AND(tblLines[[#This Row],[Flag_db]]&lt;&gt;1,ISNUMBER(tblLines[[#This Row],[sg_amount]]),tblLines[[#This Row],[sg_amount]]&gt;0,tblLines[[#This Row],[Cap]]&gt;0,OR(ISNUMBER(tblLines[[#This Row],[fund_received_date]]),ISNUMBER(tblLines[[#This Row],[remitted_date]])),IF(ISNUMBER(tblLines[[#This Row],[fund_received_date]]),tblLines[[#This Row],[fund_received_date]],tblLines[[#This Row],[remitted_date]])&lt;=DATE(2026,7,28)),1,0)</f>
        <v>0</v>
      </c>
      <c r="BD9" s="9">
        <f>IF(tblLines[[#This Row],[Settled]]&lt;&gt;"",1,0)</f>
        <v>1</v>
      </c>
      <c r="BE9" s="9">
        <f>IF(AND(tblLines[[#This Row],[Verdict]]&lt;&gt;"",tblLines[[#This Row],[Verdict]]&lt;&gt;"SKIPPED",ISNUMBER(tblLines[[#This Row],[sg_amount]]),tblLines[[#This Row],[sg_amount]]&gt;0),1,0)</f>
        <v>1</v>
      </c>
      <c r="BF9" s="9">
        <f>IF(COUNTIFS(tblLines[employee_id],tblLines[[#This Row],[employee_id]],tblLines[payment_date],tblLines[[#This Row],[payment_date]],tblLines[sg_amount],tblLines[[#This Row],[sg_amount]],tblLines[remitted_date],tblLines[[#This Row],[remitted_date]]&amp;"",tblLines[fund_received_date],tblLines[[#This Row],[fund_received_date]]&amp;"")&gt;1,1,0)</f>
        <v>0</v>
      </c>
    </row>
    <row r="10" spans="1:58" x14ac:dyDescent="0.25">
      <c r="A10" s="6" t="s">
        <v>69</v>
      </c>
      <c r="B10" s="7">
        <v>46226</v>
      </c>
      <c r="C10" s="8">
        <v>540</v>
      </c>
      <c r="D10" s="7">
        <v>46231</v>
      </c>
      <c r="E10" s="8"/>
      <c r="F10" s="8"/>
      <c r="G10" s="7">
        <v>46233</v>
      </c>
      <c r="H10" s="6" t="s">
        <v>68</v>
      </c>
      <c r="I10" s="6" t="s">
        <v>68</v>
      </c>
      <c r="J10" s="7"/>
      <c r="K10" s="6" t="s">
        <v>68</v>
      </c>
      <c r="L10" s="9">
        <f>IF(OR(LOWER(TRIM(tblLines[[#This Row],[defined_benefit]]&amp;""))={"1","t","true","y","yes"}),1,IF(OR(LOWER(TRIM(tblLines[[#This Row],[defined_benefit]]&amp;""))={"","0","f","false","n","no"}),0,""))</f>
        <v>0</v>
      </c>
      <c r="M10" s="9">
        <f>IF(OR(LOWER(TRIM(tblLines[[#This Row],[out_of_cycle]]&amp;""))={"1","t","true","y","yes"}),1,IF(OR(LOWER(TRIM(tblLines[[#This Row],[out_of_cycle]]&amp;""))={"","0","f","false","n","no"}),0,""))</f>
        <v>0</v>
      </c>
      <c r="N10" s="9">
        <f>IF(OR(LOWER(TRIM(tblLines[[#This Row],[first_contribution_to_fund]]&amp;""))={"1","t","true","y","yes"}),1,IF(OR(LOWER(TRIM(tblLines[[#This Row],[first_contribution_to_fund]]&amp;""))={"","0","f","false","n","no"}),0,""))</f>
        <v>0</v>
      </c>
      <c r="O10" s="9" t="str">
        <f>TRIM(IF(OR(AND(tblLines[[#This Row],[payment_date]]&lt;&gt;"",NOT(ISNUMBER(tblLines[[#This Row],[payment_date]]))),AND(tblLines[[#This Row],[remitted_date]]&lt;&gt;"",NOT(ISNUMBER(tblLines[[#This Row],[remitted_date]]))),AND(tblLines[[#This Row],[fund_received_date]]&lt;&gt;"",NOT(ISNUMBER(tblLines[[#This Row],[fund_received_date]]))),AND(tblLines[[#This Row],[next_standard_payday]]&lt;&gt;"",NOT(ISNUMBER(tblLines[[#This Row],[next_standard_payday]])))),"date ","")&amp;IF(NOT(ISNUMBER(tblLines[[#This Row],[payment_date]])),"payment_date ","")&amp;IF(AND(ISNUMBER(tblLines[[#This Row],[payment_date]]),tblLines[[#This Row],[payment_date]]&lt;DATE(2026,7,1)),"pre-1-Jul-2026 ","")&amp;IF(OR(AND(tblLines[[#This Row],[sg_amount]]&lt;&gt;"",OR(NOT(ISNUMBER(tblLines[[#This Row],[sg_amount]])),tblLines[[#This Row],[sg_amount]]&lt;0)),AND(tblLines[[#This Row],[remitted_amount]]&lt;&gt;"",OR(NOT(ISNUMBER(tblLines[[#This Row],[remitted_amount]])),tblLines[[#This Row],[remitted_amount]]&lt;0)),AND(tblLines[[#This Row],[matched_amount]]&lt;&gt;"",OR(NOT(ISNUMBER(tblLines[[#This Row],[matched_amount]])),tblLines[[#This Row],[matched_amount]]&lt;0))),"amount ","")&amp;IF(NOT(ISNUMBER(tblLines[[#This Row],[sg_amount]])),"sg_amount ","")&amp;IF(OR(tblLines[[#This Row],[Flag_ftf]]="",tblLines[[#This Row],[Flag_ooc]]="",tblLines[[#This Row],[Flag_db]]=""),"yes/no ","")&amp;IF(AND(ISNUMBER(tblLines[[#This Row],[remitted_amount]]),ISNUMBER(tblLines[[#This Row],[sg_amount]]),tblLines[[#This Row],[remitted_amount]]&gt;tblLines[[#This Row],[sg_amount]]),"remitted_amount&gt;sg ","")&amp;IF(AND(ISNUMBER(tblLines[[#This Row],[remitted_amount]]),NOT(ISNUMBER(tblLines[[#This Row],[remitted_date]]))),"remitted_amount-needs-date ","")&amp;IF(AND(ISNUMBER(tblLines[[#This Row],[matched_amount]]),ISNUMBER(tblLines[[#This Row],[sg_amount]]),tblLines[[#This Row],[matched_amount]]&gt;tblLines[[#This Row],[sg_amount]]),"matched_amount&gt;sg ","")&amp;IF(AND(ISNUMBER(tblLines[[#This Row],[matched_amount]]),ISNUMBER(tblLines[[#This Row],[remitted_amount]]),tblLines[[#This Row],[remitted_amount]]&gt;tblLines[[#This Row],[matched_amount]]),"remitted_amount&gt;matched ","")&amp;IF(AND(ISNUMBER(tblLines[[#This Row],[matched_amount]]),ISNUMBER(tblLines[[#This Row],[sg_amount]]),tblLines[[#This Row],[matched_amount]]&lt;tblLines[[#This Row],[sg_amount]],ISNUMBER(tblLines[[#This Row],[remitted_date]]),NOT(ISNUMBER(tblLines[[#This Row],[remitted_amount]]))),"partial-match-needs-remitted_amount ","")&amp;IF(AND(ISNUMBER(tblLines[[#This Row],[fund_received_date]]),ISNUMBER(tblLines[[#This Row],[remitted_date]]),tblLines[[#This Row],[fund_received_date]]&lt;tblLines[[#This Row],[remitted_date]]),"receipt-before-remittance ","")&amp;IF(AND(tblLines[[#This Row],[Flag_ooc]]=1,NOT(ISNUMBER(tblLines[[#This Row],[next_standard_payday]]))),"out_of_cycle-needs-next_standard_payday ","")&amp;IF(AND(tblLines[[#This Row],[Flag_ooc]]=1,ISNUMBER(tblLines[[#This Row],[next_standard_payday]]),ISNUMBER(tblLines[[#This Row],[payment_date]]),tblLines[[#This Row],[next_standard_payday]]&lt;=tblLines[[#This Row],[payment_date]]),"next_standard_payday-not-after-payday ",""))</f>
        <v/>
      </c>
      <c r="P10" s="9">
        <f>IF(OR(_xlfn.ISFORMULA(tblLines[[#This Row],[employee_id]]),_xlfn.ISFORMULA(tblLines[[#This Row],[payment_date]]),_xlfn.ISFORMULA(tblLines[[#This Row],[sg_amount]]),_xlfn.ISFORMULA(tblLines[[#This Row],[remitted_date]]),_xlfn.ISFORMULA(tblLines[[#This Row],[remitted_amount]]),_xlfn.ISFORMULA(tblLines[[#This Row],[matched_amount]]),_xlfn.ISFORMULA(tblLines[[#This Row],[fund_received_date]]),_xlfn.ISFORMULA(tblLines[[#This Row],[first_contribution_to_fund]]),_xlfn.ISFORMULA(tblLines[[#This Row],[out_of_cycle]]),_xlfn.ISFORMULA(tblLines[[#This Row],[next_standard_payday]]),_xlfn.ISFORMULA(tblLines[[#This Row],[defined_benefit]])),1,0)</f>
        <v>0</v>
      </c>
      <c r="Q10" s="10">
        <f>IF(ISNUMBER(tblLines[[#This Row],[matched_amount]]),tblLines[[#This Row],[matched_amount]],IF(ISNUMBER(tblLines[[#This Row],[remitted_amount]]),tblLines[[#This Row],[remitted_amount]],tblLines[[#This Row],[sg_amount]]))</f>
        <v>540</v>
      </c>
      <c r="R10" s="11" t="str">
        <f>IF(AND(tblLines[[#This Row],[Flag_ooc]]=1,ISNUMBER(tblLines[[#This Row],[next_standard_payday]])),WORKDAY.INTL(tblLines[[#This Row],[next_standard_payday]],7,1,tblHolidays[date]),"")</f>
        <v/>
      </c>
      <c r="S10" s="11" t="str">
        <f>IF(tblLines[[#This Row],[Flag_ftf]]=1,WORKDAY.INTL(tblLines[[#This Row],[payment_date]],20,1,tblHolidays[date]),"")</f>
        <v/>
      </c>
      <c r="T10" s="11">
        <f>IF(OR(tblLines[[#This Row],[Flag_db]]=1,NOT(ISNUMBER(tblLines[[#This Row],[payment_date]]))),"",IF(OR(tblLines[[#This Row],[Flag_ooc]]=1,tblLines[[#This Row],[Flag_ftf]]=1),MAX(tblLines[[#This Row],[Due_ooc]],tblLines[[#This Row],[Due_ftf]]),WORKDAY.INTL(tblLines[[#This Row],[payment_date]],7,1,tblHolidays[date])))</f>
        <v>46238</v>
      </c>
      <c r="U10" s="9" t="str">
        <f>IF(tblLines[[#This Row],[Flag_db]]=1,"SKIP_DB",IF(tblLines[[#This Row],[Flag_ooc]]=1,IF(AND(tblLines[[#This Row],[Flag_ftf]]=1,tblLines[[#This Row],[Due_ftf]]&gt;tblLines[[#This Row],[Due_ooc]]),"EXTENDED_20BD","OUT_OF_CYCLE"),IF(tblLines[[#This Row],[Flag_ftf]]=1,"EXTENDED_20BD","USUAL_7BD")))</f>
        <v>USUAL_7BD</v>
      </c>
      <c r="V10" s="11">
        <f>IF(ISNUMBER(tblLines[[#This Row],[payment_date]]),EDATE(tblLines[[#This Row],[payment_date]]-1,-12)+1,"")</f>
        <v>45861</v>
      </c>
      <c r="W10" s="11">
        <f>IF(AND(ISNUMBER(tblLines[[#This Row],[fund_received_date]]),tblLines[[#This Row],[fund_received_date]]&lt;=Summary!$B$2),tblLines[[#This Row],[fund_received_date]],"")</f>
        <v>46233</v>
      </c>
      <c r="X10" s="11">
        <f>IF(AND(ISNUMBER(tblLines[[#This Row],[remitted_date]]),tblLines[[#This Row],[remitted_date]]&lt;=Summary!$B$2),tblLines[[#This Row],[remitted_date]],"")</f>
        <v>46231</v>
      </c>
      <c r="Y10" s="10">
        <f>IF(tblLines[[#This Row],[Settled]]&lt;&gt;"",MIN(ROUND(tblLines[[#This Row],[Cap]],2),ROUND(tblLines[[#This Row],[sg_amount]],2)),0)</f>
        <v>540</v>
      </c>
      <c r="Z10" s="10">
        <f>IF(ISNUMBER(tblLines[[#This Row],[remitted_amount]]),IF(tblLines[[#This Row],[Remit]]&lt;&gt;"",MIN(ROUND(tblLines[[#This Row],[remitted_amount]],2),ROUND(tblLines[[#This Row],[sg_amount]],2)),0),IF(tblLines[[#This Row],[Remit]]&lt;&gt;"",ROUND(tblLines[[#This Row],[sg_amount]],2),0))</f>
        <v>540</v>
      </c>
      <c r="AA10" s="9" t="str">
        <f>IF(OR(tblLines[[#This Row],[Own_due]]="",tblLines[[#This Row],[sg_amount]]&lt;=0,tblLines[[#This Row],[Flag_db]]=1,tblLines[[#This Row],[Cap]]&lt;=0),"impossible",IF(ISNUMBER(tblLines[[#This Row],[fund_received_date]]),IF(tblLines[[#This Row],[fund_received_date]]&lt;tblLines[[#This Row],[Earliest_prepay]],"impossible",IF(tblLines[[#This Row],[fund_received_date]]&lt;=Summary!$B$2,IF(OR(tblLines[[#This Row],[fund_received_date]]&lt;tblLines[[#This Row],[payment_date]],tblLines[[#This Row],[fund_received_date]]&lt;=tblLines[[#This Row],[Own_due]]),"confirmed",IF(tblLines[[#This Row],[fund_received_date]]&gt;tblLines[[#This Row],[Own_due]],"impossible","possible")),IF(tblLines[[#This Row],[fund_received_date]]&lt;=tblLines[[#This Row],[Own_due]],"possible","impossible"))),IF(AND(ISNUMBER(tblLines[[#This Row],[remitted_date]]),tblLines[[#This Row],[remitted_date]]&gt;tblLines[[#This Row],[Own_due]]),"impossible","possible")))</f>
        <v>confirmed</v>
      </c>
      <c r="AB10" s="11">
        <f>IF(OR(tblLines[[#This Row],[Flag_db]]=1,tblLines[[#This Row],[Own_due]]=""),"",_xlfn.MAXIFS(tblLines[Own_due],tblLines[employee_id],tblLines[[#This Row],[employee_id]],tblLines[payment_date],"&lt;"&amp;tblLines[[#This Row],[payment_date]],tblLines[Evidence_own],"confirmed"))</f>
        <v>0</v>
      </c>
      <c r="AC10" s="11">
        <f>IF(OR(tblLines[[#This Row],[Flag_db]]=1,tblLines[[#This Row],[Own_due]]=""),"",_xlfn.MAXIFS(tblLines[Own_due],tblLines[employee_id],tblLines[[#This Row],[employee_id]],tblLines[payment_date],"&lt;"&amp;tblLines[[#This Row],[payment_date]],tblLines[Evidence_own],"&lt;&gt;impossible"))</f>
        <v>0</v>
      </c>
      <c r="AD10" s="11">
        <f>IF(tblLines[[#This Row],[Own_due]]="","",IF(AND(ISNUMBER(tblLines[[#This Row],[Confirmed_latest]]),tblLines[[#This Row],[Confirmed_latest]]&gt;tblLines[[#This Row],[Own_due]]),tblLines[[#This Row],[Confirmed_latest]],tblLines[[#This Row],[Own_due]]))</f>
        <v>46238</v>
      </c>
      <c r="AE10" s="9" t="str">
        <f>IF(tblLines[[#This Row],[Own_due]]="",tblLines[[#This Row],[Own_pathway]],IF(AND(ISNUMBER(tblLines[[#This Row],[Confirmed_latest]]),tblLines[[#This Row],[Confirmed_latest]]&gt;tblLines[[#This Row],[Own_due]]),"ITEM4_ALIGNED",tblLines[[#This Row],[Own_pathway]]))</f>
        <v>USUAL_7BD</v>
      </c>
      <c r="AF10" s="11" t="str">
        <f>IF(tblLines[[#This Row],[Final_due]]="","",IF(AND(ISNUMBER(tblLines[[#This Row],[Possible_latest]]),tblLines[[#This Row],[Possible_latest]]&gt;tblLines[[#This Row],[Final_due]]),tblLines[[#This Row],[Possible_latest]],""))</f>
        <v/>
      </c>
      <c r="AG10" s="9">
        <f>IF(tblLines[[#This Row],[Final_due]]="","",IF((tblLines[[#This Row],[Final_due]]&gt;Summary!$B$6),1,0))</f>
        <v>0</v>
      </c>
      <c r="AH10" s="9" t="str">
        <f>IF(tblLines[[#This Row],[Flag_db]]=1,"DB",IF(tblLines[[#This Row],[Final_due]]="","",IF(tblLines[[#This Row],[sg_amount]]&lt;=0,"NIL",IF(tblLines[[#This Row],[Settled]]&lt;&gt;"",IF(tblLines[[#This Row],[Settled]]&lt;tblLines[[#This Row],[payment_date]],IF(tblLines[[#This Row],[Settled]]&gt;=tblLines[[#This Row],[Earliest_prepay]],IF((tblLines[[#This Row],[Receipt_credit]]&gt;=tblLines[[#This Row],[sg_amount]]),"A1",IF(tblLines[[#This Row],[Final_due]]&gt;=Summary!$B$2,"A2",IF(OR((tblLines[[#This Row],[Final_due]]&gt;Summary!$B$6),AND((tblLines[[#This Row],[Possible_item4]]&lt;&gt;""),Summary!$B$2&lt;=tblLines[[#This Row],[Possible_item4]])),"A3","A4"))),IF(tblLines[[#This Row],[Final_due]]&gt;=Summary!$B$2,"S1",IF(OR((tblLines[[#This Row],[Final_due]]&gt;Summary!$B$6),AND((tblLines[[#This Row],[Possible_item4]]&lt;&gt;""),Summary!$B$2&lt;=tblLines[[#This Row],[Possible_item4]])),"S2","S3"))),IF(AND((tblLines[[#This Row],[Possible_item4]]&lt;&gt;""),tblLines[[#This Row],[Final_due]]&lt;tblLines[[#This Row],[Settled]],tblLines[[#This Row],[Settled]]&lt;=tblLines[[#This Row],[Possible_item4]]),IF((tblLines[[#This Row],[Receipt_credit]]&gt;=tblLines[[#This Row],[sg_amount]]),"B1",IF(Summary!$B$2&lt;=tblLines[[#This Row],[Possible_item4]],"B2","B3")),IF(AND((tblLines[[#This Row],[Final_due]]&gt;Summary!$B$6),tblLines[[#This Row],[Settled]]&gt;tblLines[[#This Row],[Final_due]]),IF((tblLines[[#This Row],[Receipt_credit]]&gt;=tblLines[[#This Row],[sg_amount]]),"C1","C2"),IF(tblLines[[#This Row],[Settled]]&lt;=tblLines[[#This Row],[Final_due]],IF((tblLines[[#This Row],[Receipt_credit]]&gt;=tblLines[[#This Row],[sg_amount]]),"D1",IF(OR((tblLines[[#This Row],[Final_due]]&gt;Summary!$B$6),AND((tblLines[[#This Row],[Possible_item4]]&lt;&gt;""),Summary!$B$2&lt;=tblLines[[#This Row],[Possible_item4]])),"D2",IF(tblLines[[#This Row],[Final_due]]&lt;Summary!$B$2,"D3","D4"))),"E")))),IF(AND(tblLines[[#This Row],[Remit]]&lt;&gt;"",tblLines[[#This Row],[sg_amount]]-tblLines[[#This Row],[Credit]]&lt;=0),IF(AND((tblLines[[#This Row],[Possible_item4]]&lt;&gt;""),tblLines[[#This Row],[Final_due]]&lt;tblLines[[#This Row],[Remit]],tblLines[[#This Row],[Remit]]&lt;=tblLines[[#This Row],[Possible_item4]]),"R1",IF(AND((tblLines[[#This Row],[Final_due]]&gt;Summary!$B$6),tblLines[[#This Row],[Remit]]&gt;tblLines[[#This Row],[Final_due]]),"R2",IF(tblLines[[#This Row],[Remit]]&lt;=tblLines[[#This Row],[Final_due]],"R3","R4"))),IF(tblLines[[#This Row],[Final_due]]&lt;Summary!$B$2,IF(OR((tblLines[[#This Row],[Final_due]]&gt;Summary!$B$6),AND((tblLines[[#This Row],[Possible_item4]]&lt;&gt;""),Summary!$B$2&lt;=tblLines[[#This Row],[Possible_item4]])),"N1","N2"),"N3"))))))</f>
        <v>D1</v>
      </c>
      <c r="AI10" s="9" t="str">
        <f>IF(tblLines[[#This Row],[Branch]]="","",INDEX(tblCodes[verdict],MATCH(tblLines[[#This Row],[Branch]],tblCodes[code],0)))</f>
        <v>ON_TIME</v>
      </c>
      <c r="AJ10" s="9" t="str">
        <f>IF(tblLines[[#This Row],[Branch]]="","",T(INDEX(tblCodes[unassessable],MATCH(tblLines[[#This Row],[Branch]],tblCodes[code],0))))</f>
        <v/>
      </c>
      <c r="AK10" s="9">
        <f>IF(tblLines[[#This Row],[Branch]]="",0,INDEX(tblCodes[exposed],MATCH(tblLines[[#This Row],[Branch]],tblCodes[code],0)))</f>
        <v>0</v>
      </c>
      <c r="AL10" s="9">
        <f>IF(tblLines[[#This Row],[Branch]]="",0,INDEX(tblCodes[stale],MATCH(tblLines[[#This Row],[Branch]],tblCodes[code],0)))</f>
        <v>0</v>
      </c>
      <c r="AM10" s="10">
        <f>IF(tblLines[[#This Row],[Branch]]="",0,INDEX(tblCodes[otrc],MATCH(tblLines[[#This Row],[Branch]],tblCodes[code],0))*tblLines[[#This Row],[Receipt_credit]])</f>
        <v>540</v>
      </c>
      <c r="AN10" s="10" t="str">
        <f>IF((tblLines[[#This Row],[Exposed]]=1),MAX(ROUND(tblLines[[#This Row],[sg_amount]],2)-tblLines[[#This Row],[OTRC]],0),"")</f>
        <v/>
      </c>
      <c r="AO10" s="10" t="str">
        <f>IF((tblLines[[#This Row],[Exposed]]=1),IF(AND(tblLines[[#This Row],[Settled]]&lt;&gt;"",tblLines[[#This Row],[Stale_prepay]]=0,tblLines[[#This Row],[Settled]]&gt;tblLines[[#This Row],[Final_due]],OR(Summary!$B$3="",tblLines[[#This Row],[Settled]]&lt;Summary!$B$3)),MIN(tblLines[[#This Row],[Receipt_credit]],tblLines[[#This Row],[Base_shortfall]]),0),"")</f>
        <v/>
      </c>
      <c r="AP10" s="10" t="str">
        <f>IF((tblLines[[#This Row],[Exposed]]=1),MAX(tblLines[[#This Row],[Base_shortfall]]-tblLines[[#This Row],[Offset_s18D]],0),"")</f>
        <v/>
      </c>
      <c r="AQ10" s="9" t="str">
        <f>IF((tblLines[[#This Row],[Exposed]]=1),IF(AND(tblLines[[#This Row],[Settled]]&lt;&gt;"",tblLines[[#This Row],[Stale_prepay]]=0,(tblLines[[#This Row],[Receipt_credit]]&gt;=tblLines[[#This Row],[sg_amount]])),"fund receipt",IF(AND(tblLines[[#This Row],[Settled]]&lt;&gt;"",tblLines[[#This Row],[Stale_prepay]]=0),"as-at date (shortfall remains after part receipt)",IF(AND(OR(tblLines[[#This Row],[Settled]]&lt;&gt;"",tblLines[[#This Row],[Remit]]&lt;&gt;""),tblLines[[#This Row],[Stale_prepay]]=0),"as-at date (no fund receipt recorded)","as-at date (nothing applied to this payday)"))),"")</f>
        <v/>
      </c>
      <c r="AR10" s="11" t="str">
        <f>IF((tblLines[[#This Row],[Exposed]]=1),IF(AND(tblLines[[#This Row],[Settled]]&lt;&gt;"",tblLines[[#This Row],[Stale_prepay]]=0,(tblLines[[#This Row],[Receipt_credit]]&gt;=tblLines[[#This Row],[sg_amount]])),tblLines[[#This Row],[Settled]],Summary!$B$2),"")</f>
        <v/>
      </c>
      <c r="AS10" s="11" t="str">
        <f>IF((tblLines[[#This Row],[Exposed]]=1),MIN(IF(Summary!$B$3="",DATE(2030,12,31),Summary!$B$3-1),IF(AND(tblLines[[#This Row],[Settled]]&lt;&gt;"",tblLines[[#This Row],[Stale_prepay]]=0,(tblLines[[#This Row],[Receipt_credit]]&gt;=tblLines[[#This Row],[sg_amount]]),tblLines[[#This Row],[Final_shortfall]]=0),tblLines[[#This Row],[Settled]],Summary!$B$2)),"")</f>
        <v/>
      </c>
      <c r="AT10" s="9" t="str">
        <f>IF((tblLines[[#This Row],[Exposed]]=1),IF(tblLines[[#This Row],[Past_horizon]]=1,"",MAX(tblLines[[#This Row],[Outstanding_to]]-tblLines[[#This Row],[Final_due]],0)),"")</f>
        <v/>
      </c>
      <c r="AU10" s="10" t="str">
        <f>IF((tblLines[[#This Row],[Exposed]]=1),IF(tblLines[[#This Row],[NEC_end]]&gt;tblLines[[#This Row],[Final_due]],tblLines[[#This Row],[Base_shortfall]]*(EXP(SUMPRODUCT((((((tblLines[[#This Row],[NEC_end]]+tblGic[to]-ABS(tblLines[[#This Row],[NEC_end]]-tblGic[to]))/2)-(((tblLines[[#This Row],[Final_due]]+1)+tblGic[from]+ABS((tblLines[[#This Row],[Final_due]]+1)-tblGic[from]))/2)+1)&gt;0)*(((tblLines[[#This Row],[NEC_end]]+tblGic[to]-ABS(tblLines[[#This Row],[NEC_end]]-tblGic[to]))/2)-(((tblLines[[#This Row],[Final_due]]+1)+tblGic[from]+ABS((tblLines[[#This Row],[Final_due]]+1)-tblGic[from]))/2)+1))*LN(1+tblGic[annual_pct]/100/tblGic[divisor])))-1),0),"")</f>
        <v/>
      </c>
      <c r="AV10" s="9" t="str">
        <f>IF((tblLines[[#This Row],[Exposed]]=1),IF(tblLines[[#This Row],[NEC_end]]&gt;Summary!$B$7,1,0),"")</f>
        <v/>
      </c>
      <c r="AW10" s="10" t="str">
        <f>IF((tblLines[[#This Row],[Exposed]]=1),ROUND(tblLines[[#This Row],[Final_shortfall]],2),"")</f>
        <v/>
      </c>
      <c r="AX10" s="10" t="str">
        <f>IF((tblLines[[#This Row],[Exposed]]=1),ROUND(tblLines[[#This Row],[NEC]],2),"")</f>
        <v/>
      </c>
      <c r="AY10" s="10" t="str">
        <f>IF((tblLines[[#This Row],[Exposed]]=1),0,"")</f>
        <v/>
      </c>
      <c r="AZ10" s="10" t="str">
        <f>IF((tblLines[[#This Row],[Exposed]]=1),ROUND(0.6*(tblLines[[#This Row],[Final_shortfall]]+tblLines[[#This Row],[NEC]]),2),"")</f>
        <v/>
      </c>
      <c r="BA10" s="10" t="str">
        <f>IF((tblLines[[#This Row],[Exposed]]=1),tblLines[[#This Row],[Shortfall_r]]+tblLines[[#This Row],[NEC_r]]+tblLines[[#This Row],[Uplift_best]],"")</f>
        <v/>
      </c>
      <c r="BB10" s="10" t="str">
        <f>IF((tblLines[[#This Row],[Exposed]]=1),tblLines[[#This Row],[Shortfall_r]]+tblLines[[#This Row],[NEC_r]]+tblLines[[#This Row],[Uplift_worst]],"")</f>
        <v/>
      </c>
      <c r="BC10" s="9">
        <f>IF(AND(tblLines[[#This Row],[Flag_db]]&lt;&gt;1,ISNUMBER(tblLines[[#This Row],[sg_amount]]),tblLines[[#This Row],[sg_amount]]&gt;0,tblLines[[#This Row],[Cap]]&gt;0,OR(ISNUMBER(tblLines[[#This Row],[fund_received_date]]),ISNUMBER(tblLines[[#This Row],[remitted_date]])),IF(ISNUMBER(tblLines[[#This Row],[fund_received_date]]),tblLines[[#This Row],[fund_received_date]],tblLines[[#This Row],[remitted_date]])&lt;=DATE(2026,7,28)),1,0)</f>
        <v>0</v>
      </c>
      <c r="BD10" s="9">
        <f>IF(tblLines[[#This Row],[Settled]]&lt;&gt;"",1,0)</f>
        <v>1</v>
      </c>
      <c r="BE10" s="9">
        <f>IF(AND(tblLines[[#This Row],[Verdict]]&lt;&gt;"",tblLines[[#This Row],[Verdict]]&lt;&gt;"SKIPPED",ISNUMBER(tblLines[[#This Row],[sg_amount]]),tblLines[[#This Row],[sg_amount]]&gt;0),1,0)</f>
        <v>1</v>
      </c>
      <c r="BF10" s="9">
        <f>IF(COUNTIFS(tblLines[employee_id],tblLines[[#This Row],[employee_id]],tblLines[payment_date],tblLines[[#This Row],[payment_date]],tblLines[sg_amount],tblLines[[#This Row],[sg_amount]],tblLines[remitted_date],tblLines[[#This Row],[remitted_date]]&amp;"",tblLines[fund_received_date],tblLines[[#This Row],[fund_received_date]]&amp;"")&gt;1,1,0)</f>
        <v>0</v>
      </c>
    </row>
    <row r="11" spans="1:58" x14ac:dyDescent="0.25">
      <c r="A11" s="6" t="s">
        <v>72</v>
      </c>
      <c r="B11" s="7">
        <v>46226</v>
      </c>
      <c r="C11" s="8">
        <v>450</v>
      </c>
      <c r="D11" s="7">
        <v>46239</v>
      </c>
      <c r="E11" s="8"/>
      <c r="F11" s="8"/>
      <c r="G11" s="7">
        <v>46240</v>
      </c>
      <c r="H11" s="6" t="s">
        <v>68</v>
      </c>
      <c r="I11" s="6" t="s">
        <v>68</v>
      </c>
      <c r="J11" s="7"/>
      <c r="K11" s="6" t="s">
        <v>68</v>
      </c>
      <c r="L11" s="9">
        <f>IF(OR(LOWER(TRIM(tblLines[[#This Row],[defined_benefit]]&amp;""))={"1","t","true","y","yes"}),1,IF(OR(LOWER(TRIM(tblLines[[#This Row],[defined_benefit]]&amp;""))={"","0","f","false","n","no"}),0,""))</f>
        <v>0</v>
      </c>
      <c r="M11" s="9">
        <f>IF(OR(LOWER(TRIM(tblLines[[#This Row],[out_of_cycle]]&amp;""))={"1","t","true","y","yes"}),1,IF(OR(LOWER(TRIM(tblLines[[#This Row],[out_of_cycle]]&amp;""))={"","0","f","false","n","no"}),0,""))</f>
        <v>0</v>
      </c>
      <c r="N11" s="9">
        <f>IF(OR(LOWER(TRIM(tblLines[[#This Row],[first_contribution_to_fund]]&amp;""))={"1","t","true","y","yes"}),1,IF(OR(LOWER(TRIM(tblLines[[#This Row],[first_contribution_to_fund]]&amp;""))={"","0","f","false","n","no"}),0,""))</f>
        <v>0</v>
      </c>
      <c r="O11" s="9" t="str">
        <f>TRIM(IF(OR(AND(tblLines[[#This Row],[payment_date]]&lt;&gt;"",NOT(ISNUMBER(tblLines[[#This Row],[payment_date]]))),AND(tblLines[[#This Row],[remitted_date]]&lt;&gt;"",NOT(ISNUMBER(tblLines[[#This Row],[remitted_date]]))),AND(tblLines[[#This Row],[fund_received_date]]&lt;&gt;"",NOT(ISNUMBER(tblLines[[#This Row],[fund_received_date]]))),AND(tblLines[[#This Row],[next_standard_payday]]&lt;&gt;"",NOT(ISNUMBER(tblLines[[#This Row],[next_standard_payday]])))),"date ","")&amp;IF(NOT(ISNUMBER(tblLines[[#This Row],[payment_date]])),"payment_date ","")&amp;IF(AND(ISNUMBER(tblLines[[#This Row],[payment_date]]),tblLines[[#This Row],[payment_date]]&lt;DATE(2026,7,1)),"pre-1-Jul-2026 ","")&amp;IF(OR(AND(tblLines[[#This Row],[sg_amount]]&lt;&gt;"",OR(NOT(ISNUMBER(tblLines[[#This Row],[sg_amount]])),tblLines[[#This Row],[sg_amount]]&lt;0)),AND(tblLines[[#This Row],[remitted_amount]]&lt;&gt;"",OR(NOT(ISNUMBER(tblLines[[#This Row],[remitted_amount]])),tblLines[[#This Row],[remitted_amount]]&lt;0)),AND(tblLines[[#This Row],[matched_amount]]&lt;&gt;"",OR(NOT(ISNUMBER(tblLines[[#This Row],[matched_amount]])),tblLines[[#This Row],[matched_amount]]&lt;0))),"amount ","")&amp;IF(NOT(ISNUMBER(tblLines[[#This Row],[sg_amount]])),"sg_amount ","")&amp;IF(OR(tblLines[[#This Row],[Flag_ftf]]="",tblLines[[#This Row],[Flag_ooc]]="",tblLines[[#This Row],[Flag_db]]=""),"yes/no ","")&amp;IF(AND(ISNUMBER(tblLines[[#This Row],[remitted_amount]]),ISNUMBER(tblLines[[#This Row],[sg_amount]]),tblLines[[#This Row],[remitted_amount]]&gt;tblLines[[#This Row],[sg_amount]]),"remitted_amount&gt;sg ","")&amp;IF(AND(ISNUMBER(tblLines[[#This Row],[remitted_amount]]),NOT(ISNUMBER(tblLines[[#This Row],[remitted_date]]))),"remitted_amount-needs-date ","")&amp;IF(AND(ISNUMBER(tblLines[[#This Row],[matched_amount]]),ISNUMBER(tblLines[[#This Row],[sg_amount]]),tblLines[[#This Row],[matched_amount]]&gt;tblLines[[#This Row],[sg_amount]]),"matched_amount&gt;sg ","")&amp;IF(AND(ISNUMBER(tblLines[[#This Row],[matched_amount]]),ISNUMBER(tblLines[[#This Row],[remitted_amount]]),tblLines[[#This Row],[remitted_amount]]&gt;tblLines[[#This Row],[matched_amount]]),"remitted_amount&gt;matched ","")&amp;IF(AND(ISNUMBER(tblLines[[#This Row],[matched_amount]]),ISNUMBER(tblLines[[#This Row],[sg_amount]]),tblLines[[#This Row],[matched_amount]]&lt;tblLines[[#This Row],[sg_amount]],ISNUMBER(tblLines[[#This Row],[remitted_date]]),NOT(ISNUMBER(tblLines[[#This Row],[remitted_amount]]))),"partial-match-needs-remitted_amount ","")&amp;IF(AND(ISNUMBER(tblLines[[#This Row],[fund_received_date]]),ISNUMBER(tblLines[[#This Row],[remitted_date]]),tblLines[[#This Row],[fund_received_date]]&lt;tblLines[[#This Row],[remitted_date]]),"receipt-before-remittance ","")&amp;IF(AND(tblLines[[#This Row],[Flag_ooc]]=1,NOT(ISNUMBER(tblLines[[#This Row],[next_standard_payday]]))),"out_of_cycle-needs-next_standard_payday ","")&amp;IF(AND(tblLines[[#This Row],[Flag_ooc]]=1,ISNUMBER(tblLines[[#This Row],[next_standard_payday]]),ISNUMBER(tblLines[[#This Row],[payment_date]]),tblLines[[#This Row],[next_standard_payday]]&lt;=tblLines[[#This Row],[payment_date]]),"next_standard_payday-not-after-payday ",""))</f>
        <v/>
      </c>
      <c r="P11" s="9">
        <f>IF(OR(_xlfn.ISFORMULA(tblLines[[#This Row],[employee_id]]),_xlfn.ISFORMULA(tblLines[[#This Row],[payment_date]]),_xlfn.ISFORMULA(tblLines[[#This Row],[sg_amount]]),_xlfn.ISFORMULA(tblLines[[#This Row],[remitted_date]]),_xlfn.ISFORMULA(tblLines[[#This Row],[remitted_amount]]),_xlfn.ISFORMULA(tblLines[[#This Row],[matched_amount]]),_xlfn.ISFORMULA(tblLines[[#This Row],[fund_received_date]]),_xlfn.ISFORMULA(tblLines[[#This Row],[first_contribution_to_fund]]),_xlfn.ISFORMULA(tblLines[[#This Row],[out_of_cycle]]),_xlfn.ISFORMULA(tblLines[[#This Row],[next_standard_payday]]),_xlfn.ISFORMULA(tblLines[[#This Row],[defined_benefit]])),1,0)</f>
        <v>0</v>
      </c>
      <c r="Q11" s="10">
        <f>IF(ISNUMBER(tblLines[[#This Row],[matched_amount]]),tblLines[[#This Row],[matched_amount]],IF(ISNUMBER(tblLines[[#This Row],[remitted_amount]]),tblLines[[#This Row],[remitted_amount]],tblLines[[#This Row],[sg_amount]]))</f>
        <v>450</v>
      </c>
      <c r="R11" s="11" t="str">
        <f>IF(AND(tblLines[[#This Row],[Flag_ooc]]=1,ISNUMBER(tblLines[[#This Row],[next_standard_payday]])),WORKDAY.INTL(tblLines[[#This Row],[next_standard_payday]],7,1,tblHolidays[date]),"")</f>
        <v/>
      </c>
      <c r="S11" s="11" t="str">
        <f>IF(tblLines[[#This Row],[Flag_ftf]]=1,WORKDAY.INTL(tblLines[[#This Row],[payment_date]],20,1,tblHolidays[date]),"")</f>
        <v/>
      </c>
      <c r="T11" s="11">
        <f>IF(OR(tblLines[[#This Row],[Flag_db]]=1,NOT(ISNUMBER(tblLines[[#This Row],[payment_date]]))),"",IF(OR(tblLines[[#This Row],[Flag_ooc]]=1,tblLines[[#This Row],[Flag_ftf]]=1),MAX(tblLines[[#This Row],[Due_ooc]],tblLines[[#This Row],[Due_ftf]]),WORKDAY.INTL(tblLines[[#This Row],[payment_date]],7,1,tblHolidays[date])))</f>
        <v>46238</v>
      </c>
      <c r="U11" s="9" t="str">
        <f>IF(tblLines[[#This Row],[Flag_db]]=1,"SKIP_DB",IF(tblLines[[#This Row],[Flag_ooc]]=1,IF(AND(tblLines[[#This Row],[Flag_ftf]]=1,tblLines[[#This Row],[Due_ftf]]&gt;tblLines[[#This Row],[Due_ooc]]),"EXTENDED_20BD","OUT_OF_CYCLE"),IF(tblLines[[#This Row],[Flag_ftf]]=1,"EXTENDED_20BD","USUAL_7BD")))</f>
        <v>USUAL_7BD</v>
      </c>
      <c r="V11" s="11">
        <f>IF(ISNUMBER(tblLines[[#This Row],[payment_date]]),EDATE(tblLines[[#This Row],[payment_date]]-1,-12)+1,"")</f>
        <v>45861</v>
      </c>
      <c r="W11" s="11">
        <f>IF(AND(ISNUMBER(tblLines[[#This Row],[fund_received_date]]),tblLines[[#This Row],[fund_received_date]]&lt;=Summary!$B$2),tblLines[[#This Row],[fund_received_date]],"")</f>
        <v>46240</v>
      </c>
      <c r="X11" s="11">
        <f>IF(AND(ISNUMBER(tblLines[[#This Row],[remitted_date]]),tblLines[[#This Row],[remitted_date]]&lt;=Summary!$B$2),tblLines[[#This Row],[remitted_date]],"")</f>
        <v>46239</v>
      </c>
      <c r="Y11" s="10">
        <f>IF(tblLines[[#This Row],[Settled]]&lt;&gt;"",MIN(ROUND(tblLines[[#This Row],[Cap]],2),ROUND(tblLines[[#This Row],[sg_amount]],2)),0)</f>
        <v>450</v>
      </c>
      <c r="Z11" s="10">
        <f>IF(ISNUMBER(tblLines[[#This Row],[remitted_amount]]),IF(tblLines[[#This Row],[Remit]]&lt;&gt;"",MIN(ROUND(tblLines[[#This Row],[remitted_amount]],2),ROUND(tblLines[[#This Row],[sg_amount]],2)),0),IF(tblLines[[#This Row],[Remit]]&lt;&gt;"",ROUND(tblLines[[#This Row],[sg_amount]],2),0))</f>
        <v>450</v>
      </c>
      <c r="AA11" s="9" t="str">
        <f>IF(OR(tblLines[[#This Row],[Own_due]]="",tblLines[[#This Row],[sg_amount]]&lt;=0,tblLines[[#This Row],[Flag_db]]=1,tblLines[[#This Row],[Cap]]&lt;=0),"impossible",IF(ISNUMBER(tblLines[[#This Row],[fund_received_date]]),IF(tblLines[[#This Row],[fund_received_date]]&lt;tblLines[[#This Row],[Earliest_prepay]],"impossible",IF(tblLines[[#This Row],[fund_received_date]]&lt;=Summary!$B$2,IF(OR(tblLines[[#This Row],[fund_received_date]]&lt;tblLines[[#This Row],[payment_date]],tblLines[[#This Row],[fund_received_date]]&lt;=tblLines[[#This Row],[Own_due]]),"confirmed",IF(tblLines[[#This Row],[fund_received_date]]&gt;tblLines[[#This Row],[Own_due]],"impossible","possible")),IF(tblLines[[#This Row],[fund_received_date]]&lt;=tblLines[[#This Row],[Own_due]],"possible","impossible"))),IF(AND(ISNUMBER(tblLines[[#This Row],[remitted_date]]),tblLines[[#This Row],[remitted_date]]&gt;tblLines[[#This Row],[Own_due]]),"impossible","possible")))</f>
        <v>impossible</v>
      </c>
      <c r="AB11" s="11">
        <f>IF(OR(tblLines[[#This Row],[Flag_db]]=1,tblLines[[#This Row],[Own_due]]=""),"",_xlfn.MAXIFS(tblLines[Own_due],tblLines[employee_id],tblLines[[#This Row],[employee_id]],tblLines[payment_date],"&lt;"&amp;tblLines[[#This Row],[payment_date]],tblLines[Evidence_own],"confirmed"))</f>
        <v>46241</v>
      </c>
      <c r="AC11" s="11">
        <f>IF(OR(tblLines[[#This Row],[Flag_db]]=1,tblLines[[#This Row],[Own_due]]=""),"",_xlfn.MAXIFS(tblLines[Own_due],tblLines[employee_id],tblLines[[#This Row],[employee_id]],tblLines[payment_date],"&lt;"&amp;tblLines[[#This Row],[payment_date]],tblLines[Evidence_own],"&lt;&gt;impossible"))</f>
        <v>46241</v>
      </c>
      <c r="AD11" s="11">
        <f>IF(tblLines[[#This Row],[Own_due]]="","",IF(AND(ISNUMBER(tblLines[[#This Row],[Confirmed_latest]]),tblLines[[#This Row],[Confirmed_latest]]&gt;tblLines[[#This Row],[Own_due]]),tblLines[[#This Row],[Confirmed_latest]],tblLines[[#This Row],[Own_due]]))</f>
        <v>46241</v>
      </c>
      <c r="AE11" s="9" t="str">
        <f>IF(tblLines[[#This Row],[Own_due]]="",tblLines[[#This Row],[Own_pathway]],IF(AND(ISNUMBER(tblLines[[#This Row],[Confirmed_latest]]),tblLines[[#This Row],[Confirmed_latest]]&gt;tblLines[[#This Row],[Own_due]]),"ITEM4_ALIGNED",tblLines[[#This Row],[Own_pathway]]))</f>
        <v>ITEM4_ALIGNED</v>
      </c>
      <c r="AF11" s="11" t="str">
        <f>IF(tblLines[[#This Row],[Final_due]]="","",IF(AND(ISNUMBER(tblLines[[#This Row],[Possible_latest]]),tblLines[[#This Row],[Possible_latest]]&gt;tblLines[[#This Row],[Final_due]]),tblLines[[#This Row],[Possible_latest]],""))</f>
        <v/>
      </c>
      <c r="AG11" s="9">
        <f>IF(tblLines[[#This Row],[Final_due]]="","",IF((tblLines[[#This Row],[Final_due]]&gt;Summary!$B$6),1,0))</f>
        <v>0</v>
      </c>
      <c r="AH11" s="9" t="str">
        <f>IF(tblLines[[#This Row],[Flag_db]]=1,"DB",IF(tblLines[[#This Row],[Final_due]]="","",IF(tblLines[[#This Row],[sg_amount]]&lt;=0,"NIL",IF(tblLines[[#This Row],[Settled]]&lt;&gt;"",IF(tblLines[[#This Row],[Settled]]&lt;tblLines[[#This Row],[payment_date]],IF(tblLines[[#This Row],[Settled]]&gt;=tblLines[[#This Row],[Earliest_prepay]],IF((tblLines[[#This Row],[Receipt_credit]]&gt;=tblLines[[#This Row],[sg_amount]]),"A1",IF(tblLines[[#This Row],[Final_due]]&gt;=Summary!$B$2,"A2",IF(OR((tblLines[[#This Row],[Final_due]]&gt;Summary!$B$6),AND((tblLines[[#This Row],[Possible_item4]]&lt;&gt;""),Summary!$B$2&lt;=tblLines[[#This Row],[Possible_item4]])),"A3","A4"))),IF(tblLines[[#This Row],[Final_due]]&gt;=Summary!$B$2,"S1",IF(OR((tblLines[[#This Row],[Final_due]]&gt;Summary!$B$6),AND((tblLines[[#This Row],[Possible_item4]]&lt;&gt;""),Summary!$B$2&lt;=tblLines[[#This Row],[Possible_item4]])),"S2","S3"))),IF(AND((tblLines[[#This Row],[Possible_item4]]&lt;&gt;""),tblLines[[#This Row],[Final_due]]&lt;tblLines[[#This Row],[Settled]],tblLines[[#This Row],[Settled]]&lt;=tblLines[[#This Row],[Possible_item4]]),IF((tblLines[[#This Row],[Receipt_credit]]&gt;=tblLines[[#This Row],[sg_amount]]),"B1",IF(Summary!$B$2&lt;=tblLines[[#This Row],[Possible_item4]],"B2","B3")),IF(AND((tblLines[[#This Row],[Final_due]]&gt;Summary!$B$6),tblLines[[#This Row],[Settled]]&gt;tblLines[[#This Row],[Final_due]]),IF((tblLines[[#This Row],[Receipt_credit]]&gt;=tblLines[[#This Row],[sg_amount]]),"C1","C2"),IF(tblLines[[#This Row],[Settled]]&lt;=tblLines[[#This Row],[Final_due]],IF((tblLines[[#This Row],[Receipt_credit]]&gt;=tblLines[[#This Row],[sg_amount]]),"D1",IF(OR((tblLines[[#This Row],[Final_due]]&gt;Summary!$B$6),AND((tblLines[[#This Row],[Possible_item4]]&lt;&gt;""),Summary!$B$2&lt;=tblLines[[#This Row],[Possible_item4]])),"D2",IF(tblLines[[#This Row],[Final_due]]&lt;Summary!$B$2,"D3","D4"))),"E")))),IF(AND(tblLines[[#This Row],[Remit]]&lt;&gt;"",tblLines[[#This Row],[sg_amount]]-tblLines[[#This Row],[Credit]]&lt;=0),IF(AND((tblLines[[#This Row],[Possible_item4]]&lt;&gt;""),tblLines[[#This Row],[Final_due]]&lt;tblLines[[#This Row],[Remit]],tblLines[[#This Row],[Remit]]&lt;=tblLines[[#This Row],[Possible_item4]]),"R1",IF(AND((tblLines[[#This Row],[Final_due]]&gt;Summary!$B$6),tblLines[[#This Row],[Remit]]&gt;tblLines[[#This Row],[Final_due]]),"R2",IF(tblLines[[#This Row],[Remit]]&lt;=tblLines[[#This Row],[Final_due]],"R3","R4"))),IF(tblLines[[#This Row],[Final_due]]&lt;Summary!$B$2,IF(OR((tblLines[[#This Row],[Final_due]]&gt;Summary!$B$6),AND((tblLines[[#This Row],[Possible_item4]]&lt;&gt;""),Summary!$B$2&lt;=tblLines[[#This Row],[Possible_item4]])),"N1","N2"),"N3"))))))</f>
        <v>D1</v>
      </c>
      <c r="AI11" s="9" t="str">
        <f>IF(tblLines[[#This Row],[Branch]]="","",INDEX(tblCodes[verdict],MATCH(tblLines[[#This Row],[Branch]],tblCodes[code],0)))</f>
        <v>ON_TIME</v>
      </c>
      <c r="AJ11" s="9" t="str">
        <f>IF(tblLines[[#This Row],[Branch]]="","",T(INDEX(tblCodes[unassessable],MATCH(tblLines[[#This Row],[Branch]],tblCodes[code],0))))</f>
        <v/>
      </c>
      <c r="AK11" s="9">
        <f>IF(tblLines[[#This Row],[Branch]]="",0,INDEX(tblCodes[exposed],MATCH(tblLines[[#This Row],[Branch]],tblCodes[code],0)))</f>
        <v>0</v>
      </c>
      <c r="AL11" s="9">
        <f>IF(tblLines[[#This Row],[Branch]]="",0,INDEX(tblCodes[stale],MATCH(tblLines[[#This Row],[Branch]],tblCodes[code],0)))</f>
        <v>0</v>
      </c>
      <c r="AM11" s="10">
        <f>IF(tblLines[[#This Row],[Branch]]="",0,INDEX(tblCodes[otrc],MATCH(tblLines[[#This Row],[Branch]],tblCodes[code],0))*tblLines[[#This Row],[Receipt_credit]])</f>
        <v>450</v>
      </c>
      <c r="AN11" s="10" t="str">
        <f>IF((tblLines[[#This Row],[Exposed]]=1),MAX(ROUND(tblLines[[#This Row],[sg_amount]],2)-tblLines[[#This Row],[OTRC]],0),"")</f>
        <v/>
      </c>
      <c r="AO11" s="10" t="str">
        <f>IF((tblLines[[#This Row],[Exposed]]=1),IF(AND(tblLines[[#This Row],[Settled]]&lt;&gt;"",tblLines[[#This Row],[Stale_prepay]]=0,tblLines[[#This Row],[Settled]]&gt;tblLines[[#This Row],[Final_due]],OR(Summary!$B$3="",tblLines[[#This Row],[Settled]]&lt;Summary!$B$3)),MIN(tblLines[[#This Row],[Receipt_credit]],tblLines[[#This Row],[Base_shortfall]]),0),"")</f>
        <v/>
      </c>
      <c r="AP11" s="10" t="str">
        <f>IF((tblLines[[#This Row],[Exposed]]=1),MAX(tblLines[[#This Row],[Base_shortfall]]-tblLines[[#This Row],[Offset_s18D]],0),"")</f>
        <v/>
      </c>
      <c r="AQ11" s="9" t="str">
        <f>IF((tblLines[[#This Row],[Exposed]]=1),IF(AND(tblLines[[#This Row],[Settled]]&lt;&gt;"",tblLines[[#This Row],[Stale_prepay]]=0,(tblLines[[#This Row],[Receipt_credit]]&gt;=tblLines[[#This Row],[sg_amount]])),"fund receipt",IF(AND(tblLines[[#This Row],[Settled]]&lt;&gt;"",tblLines[[#This Row],[Stale_prepay]]=0),"as-at date (shortfall remains after part receipt)",IF(AND(OR(tblLines[[#This Row],[Settled]]&lt;&gt;"",tblLines[[#This Row],[Remit]]&lt;&gt;""),tblLines[[#This Row],[Stale_prepay]]=0),"as-at date (no fund receipt recorded)","as-at date (nothing applied to this payday)"))),"")</f>
        <v/>
      </c>
      <c r="AR11" s="11" t="str">
        <f>IF((tblLines[[#This Row],[Exposed]]=1),IF(AND(tblLines[[#This Row],[Settled]]&lt;&gt;"",tblLines[[#This Row],[Stale_prepay]]=0,(tblLines[[#This Row],[Receipt_credit]]&gt;=tblLines[[#This Row],[sg_amount]])),tblLines[[#This Row],[Settled]],Summary!$B$2),"")</f>
        <v/>
      </c>
      <c r="AS11" s="11" t="str">
        <f>IF((tblLines[[#This Row],[Exposed]]=1),MIN(IF(Summary!$B$3="",DATE(2030,12,31),Summary!$B$3-1),IF(AND(tblLines[[#This Row],[Settled]]&lt;&gt;"",tblLines[[#This Row],[Stale_prepay]]=0,(tblLines[[#This Row],[Receipt_credit]]&gt;=tblLines[[#This Row],[sg_amount]]),tblLines[[#This Row],[Final_shortfall]]=0),tblLines[[#This Row],[Settled]],Summary!$B$2)),"")</f>
        <v/>
      </c>
      <c r="AT11" s="9" t="str">
        <f>IF((tblLines[[#This Row],[Exposed]]=1),IF(tblLines[[#This Row],[Past_horizon]]=1,"",MAX(tblLines[[#This Row],[Outstanding_to]]-tblLines[[#This Row],[Final_due]],0)),"")</f>
        <v/>
      </c>
      <c r="AU11" s="10" t="str">
        <f>IF((tblLines[[#This Row],[Exposed]]=1),IF(tblLines[[#This Row],[NEC_end]]&gt;tblLines[[#This Row],[Final_due]],tblLines[[#This Row],[Base_shortfall]]*(EXP(SUMPRODUCT((((((tblLines[[#This Row],[NEC_end]]+tblGic[to]-ABS(tblLines[[#This Row],[NEC_end]]-tblGic[to]))/2)-(((tblLines[[#This Row],[Final_due]]+1)+tblGic[from]+ABS((tblLines[[#This Row],[Final_due]]+1)-tblGic[from]))/2)+1)&gt;0)*(((tblLines[[#This Row],[NEC_end]]+tblGic[to]-ABS(tblLines[[#This Row],[NEC_end]]-tblGic[to]))/2)-(((tblLines[[#This Row],[Final_due]]+1)+tblGic[from]+ABS((tblLines[[#This Row],[Final_due]]+1)-tblGic[from]))/2)+1))*LN(1+tblGic[annual_pct]/100/tblGic[divisor])))-1),0),"")</f>
        <v/>
      </c>
      <c r="AV11" s="9" t="str">
        <f>IF((tblLines[[#This Row],[Exposed]]=1),IF(tblLines[[#This Row],[NEC_end]]&gt;Summary!$B$7,1,0),"")</f>
        <v/>
      </c>
      <c r="AW11" s="10" t="str">
        <f>IF((tblLines[[#This Row],[Exposed]]=1),ROUND(tblLines[[#This Row],[Final_shortfall]],2),"")</f>
        <v/>
      </c>
      <c r="AX11" s="10" t="str">
        <f>IF((tblLines[[#This Row],[Exposed]]=1),ROUND(tblLines[[#This Row],[NEC]],2),"")</f>
        <v/>
      </c>
      <c r="AY11" s="10" t="str">
        <f>IF((tblLines[[#This Row],[Exposed]]=1),0,"")</f>
        <v/>
      </c>
      <c r="AZ11" s="10" t="str">
        <f>IF((tblLines[[#This Row],[Exposed]]=1),ROUND(0.6*(tblLines[[#This Row],[Final_shortfall]]+tblLines[[#This Row],[NEC]]),2),"")</f>
        <v/>
      </c>
      <c r="BA11" s="10" t="str">
        <f>IF((tblLines[[#This Row],[Exposed]]=1),tblLines[[#This Row],[Shortfall_r]]+tblLines[[#This Row],[NEC_r]]+tblLines[[#This Row],[Uplift_best]],"")</f>
        <v/>
      </c>
      <c r="BB11" s="10" t="str">
        <f>IF((tblLines[[#This Row],[Exposed]]=1),tblLines[[#This Row],[Shortfall_r]]+tblLines[[#This Row],[NEC_r]]+tblLines[[#This Row],[Uplift_worst]],"")</f>
        <v/>
      </c>
      <c r="BC11" s="9">
        <f>IF(AND(tblLines[[#This Row],[Flag_db]]&lt;&gt;1,ISNUMBER(tblLines[[#This Row],[sg_amount]]),tblLines[[#This Row],[sg_amount]]&gt;0,tblLines[[#This Row],[Cap]]&gt;0,OR(ISNUMBER(tblLines[[#This Row],[fund_received_date]]),ISNUMBER(tblLines[[#This Row],[remitted_date]])),IF(ISNUMBER(tblLines[[#This Row],[fund_received_date]]),tblLines[[#This Row],[fund_received_date]],tblLines[[#This Row],[remitted_date]])&lt;=DATE(2026,7,28)),1,0)</f>
        <v>0</v>
      </c>
      <c r="BD11" s="9">
        <f>IF(tblLines[[#This Row],[Settled]]&lt;&gt;"",1,0)</f>
        <v>1</v>
      </c>
      <c r="BE11" s="9">
        <f>IF(AND(tblLines[[#This Row],[Verdict]]&lt;&gt;"",tblLines[[#This Row],[Verdict]]&lt;&gt;"SKIPPED",ISNUMBER(tblLines[[#This Row],[sg_amount]]),tblLines[[#This Row],[sg_amount]]&gt;0),1,0)</f>
        <v>1</v>
      </c>
      <c r="BF11" s="9">
        <f>IF(COUNTIFS(tblLines[employee_id],tblLines[[#This Row],[employee_id]],tblLines[payment_date],tblLines[[#This Row],[payment_date]],tblLines[sg_amount],tblLines[[#This Row],[sg_amount]],tblLines[remitted_date],tblLines[[#This Row],[remitted_date]]&amp;"",tblLines[fund_received_date],tblLines[[#This Row],[fund_received_date]]&amp;"")&gt;1,1,0)</f>
        <v>0</v>
      </c>
    </row>
  </sheetData>
  <dataValidations count="1">
    <dataValidation type="list" allowBlank="1" sqref="K2:K1011 H2:I1011" xr:uid="{00000000-0002-0000-0100-000000000000}">
      <formula1>"yes,no"</formula1>
    </dataValidation>
  </dataValidations>
  <pageMargins left="0.75" right="0.75" top="1" bottom="1" header="0.5" footer="0.5"/>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27"/>
  <sheetViews>
    <sheetView workbookViewId="0"/>
  </sheetViews>
  <sheetFormatPr defaultRowHeight="15" x14ac:dyDescent="0.25"/>
  <cols>
    <col min="3" max="3" width="24" customWidth="1"/>
  </cols>
  <sheetData>
    <row r="1" spans="1:6" x14ac:dyDescent="0.25">
      <c r="A1" s="5" t="s">
        <v>76</v>
      </c>
      <c r="B1" s="5" t="s">
        <v>77</v>
      </c>
      <c r="C1" s="5" t="s">
        <v>78</v>
      </c>
      <c r="D1" s="5" t="s">
        <v>79</v>
      </c>
      <c r="E1" s="5" t="s">
        <v>80</v>
      </c>
      <c r="F1" s="5" t="s">
        <v>81</v>
      </c>
    </row>
    <row r="2" spans="1:6" x14ac:dyDescent="0.25">
      <c r="A2" t="s">
        <v>82</v>
      </c>
      <c r="B2" t="s">
        <v>83</v>
      </c>
      <c r="D2">
        <v>0</v>
      </c>
      <c r="E2">
        <v>0</v>
      </c>
      <c r="F2">
        <v>0</v>
      </c>
    </row>
    <row r="3" spans="1:6" x14ac:dyDescent="0.25">
      <c r="A3" t="s">
        <v>84</v>
      </c>
      <c r="B3" t="s">
        <v>85</v>
      </c>
      <c r="D3">
        <v>0</v>
      </c>
      <c r="E3">
        <v>0</v>
      </c>
      <c r="F3">
        <v>0</v>
      </c>
    </row>
    <row r="4" spans="1:6" x14ac:dyDescent="0.25">
      <c r="A4" t="s">
        <v>86</v>
      </c>
      <c r="B4" t="s">
        <v>87</v>
      </c>
      <c r="D4">
        <v>1</v>
      </c>
      <c r="E4">
        <v>0</v>
      </c>
      <c r="F4">
        <v>0</v>
      </c>
    </row>
    <row r="5" spans="1:6" x14ac:dyDescent="0.25">
      <c r="A5" t="s">
        <v>88</v>
      </c>
      <c r="B5" t="s">
        <v>85</v>
      </c>
      <c r="D5">
        <v>1</v>
      </c>
      <c r="E5">
        <v>0</v>
      </c>
      <c r="F5">
        <v>0</v>
      </c>
    </row>
    <row r="6" spans="1:6" x14ac:dyDescent="0.25">
      <c r="A6" t="s">
        <v>89</v>
      </c>
      <c r="B6" t="s">
        <v>85</v>
      </c>
      <c r="C6" t="s">
        <v>90</v>
      </c>
      <c r="D6">
        <v>1</v>
      </c>
      <c r="E6">
        <v>0</v>
      </c>
      <c r="F6">
        <v>0</v>
      </c>
    </row>
    <row r="7" spans="1:6" x14ac:dyDescent="0.25">
      <c r="A7" t="s">
        <v>91</v>
      </c>
      <c r="B7" t="s">
        <v>92</v>
      </c>
      <c r="D7">
        <v>1</v>
      </c>
      <c r="E7">
        <v>0</v>
      </c>
      <c r="F7">
        <v>1</v>
      </c>
    </row>
    <row r="8" spans="1:6" x14ac:dyDescent="0.25">
      <c r="A8" t="s">
        <v>93</v>
      </c>
      <c r="B8" t="s">
        <v>85</v>
      </c>
      <c r="D8">
        <v>0</v>
      </c>
      <c r="E8">
        <v>1</v>
      </c>
      <c r="F8">
        <v>0</v>
      </c>
    </row>
    <row r="9" spans="1:6" x14ac:dyDescent="0.25">
      <c r="A9" t="s">
        <v>94</v>
      </c>
      <c r="B9" t="s">
        <v>85</v>
      </c>
      <c r="C9" t="s">
        <v>95</v>
      </c>
      <c r="D9">
        <v>0</v>
      </c>
      <c r="E9">
        <v>1</v>
      </c>
      <c r="F9">
        <v>0</v>
      </c>
    </row>
    <row r="10" spans="1:6" x14ac:dyDescent="0.25">
      <c r="A10" t="s">
        <v>96</v>
      </c>
      <c r="B10" t="s">
        <v>97</v>
      </c>
      <c r="D10">
        <v>0</v>
      </c>
      <c r="E10">
        <v>1</v>
      </c>
      <c r="F10">
        <v>1</v>
      </c>
    </row>
    <row r="11" spans="1:6" x14ac:dyDescent="0.25">
      <c r="A11" t="s">
        <v>98</v>
      </c>
      <c r="B11" t="s">
        <v>85</v>
      </c>
      <c r="C11" t="s">
        <v>99</v>
      </c>
      <c r="D11">
        <v>0</v>
      </c>
      <c r="E11">
        <v>0</v>
      </c>
      <c r="F11">
        <v>0</v>
      </c>
    </row>
    <row r="12" spans="1:6" x14ac:dyDescent="0.25">
      <c r="A12" t="s">
        <v>100</v>
      </c>
      <c r="B12" t="s">
        <v>85</v>
      </c>
      <c r="C12" t="s">
        <v>95</v>
      </c>
      <c r="D12">
        <v>0</v>
      </c>
      <c r="E12">
        <v>0</v>
      </c>
      <c r="F12">
        <v>0</v>
      </c>
    </row>
    <row r="13" spans="1:6" x14ac:dyDescent="0.25">
      <c r="A13" t="s">
        <v>101</v>
      </c>
      <c r="B13" t="s">
        <v>85</v>
      </c>
      <c r="C13" t="s">
        <v>102</v>
      </c>
      <c r="D13">
        <v>0</v>
      </c>
      <c r="E13">
        <v>0</v>
      </c>
      <c r="F13">
        <v>0</v>
      </c>
    </row>
    <row r="14" spans="1:6" x14ac:dyDescent="0.25">
      <c r="A14" t="s">
        <v>103</v>
      </c>
      <c r="B14" t="s">
        <v>85</v>
      </c>
      <c r="C14" t="s">
        <v>99</v>
      </c>
      <c r="D14">
        <v>0</v>
      </c>
      <c r="E14">
        <v>0</v>
      </c>
      <c r="F14">
        <v>0</v>
      </c>
    </row>
    <row r="15" spans="1:6" x14ac:dyDescent="0.25">
      <c r="A15" t="s">
        <v>104</v>
      </c>
      <c r="B15" t="s">
        <v>85</v>
      </c>
      <c r="C15" t="s">
        <v>95</v>
      </c>
      <c r="D15">
        <v>0</v>
      </c>
      <c r="E15">
        <v>0</v>
      </c>
      <c r="F15">
        <v>0</v>
      </c>
    </row>
    <row r="16" spans="1:6" x14ac:dyDescent="0.25">
      <c r="A16" t="s">
        <v>105</v>
      </c>
      <c r="B16" t="s">
        <v>87</v>
      </c>
      <c r="D16">
        <v>1</v>
      </c>
      <c r="E16">
        <v>0</v>
      </c>
      <c r="F16">
        <v>0</v>
      </c>
    </row>
    <row r="17" spans="1:6" x14ac:dyDescent="0.25">
      <c r="A17" t="s">
        <v>106</v>
      </c>
      <c r="B17" t="s">
        <v>85</v>
      </c>
      <c r="C17" t="s">
        <v>90</v>
      </c>
      <c r="D17">
        <v>1</v>
      </c>
      <c r="E17">
        <v>0</v>
      </c>
      <c r="F17">
        <v>0</v>
      </c>
    </row>
    <row r="18" spans="1:6" x14ac:dyDescent="0.25">
      <c r="A18" t="s">
        <v>107</v>
      </c>
      <c r="B18" t="s">
        <v>92</v>
      </c>
      <c r="D18">
        <v>1</v>
      </c>
      <c r="E18">
        <v>0</v>
      </c>
      <c r="F18">
        <v>1</v>
      </c>
    </row>
    <row r="19" spans="1:6" x14ac:dyDescent="0.25">
      <c r="A19" t="s">
        <v>108</v>
      </c>
      <c r="B19" t="s">
        <v>85</v>
      </c>
      <c r="D19">
        <v>1</v>
      </c>
      <c r="E19">
        <v>0</v>
      </c>
      <c r="F19">
        <v>0</v>
      </c>
    </row>
    <row r="20" spans="1:6" x14ac:dyDescent="0.25">
      <c r="A20" t="s">
        <v>109</v>
      </c>
      <c r="B20" t="s">
        <v>97</v>
      </c>
      <c r="D20">
        <v>0</v>
      </c>
      <c r="E20">
        <v>0</v>
      </c>
      <c r="F20">
        <v>1</v>
      </c>
    </row>
    <row r="21" spans="1:6" x14ac:dyDescent="0.25">
      <c r="A21" t="s">
        <v>110</v>
      </c>
      <c r="B21" t="s">
        <v>85</v>
      </c>
      <c r="C21" t="s">
        <v>111</v>
      </c>
      <c r="D21">
        <v>0</v>
      </c>
      <c r="E21">
        <v>0</v>
      </c>
      <c r="F21">
        <v>0</v>
      </c>
    </row>
    <row r="22" spans="1:6" x14ac:dyDescent="0.25">
      <c r="A22" t="s">
        <v>112</v>
      </c>
      <c r="B22" t="s">
        <v>85</v>
      </c>
      <c r="C22" t="s">
        <v>111</v>
      </c>
      <c r="D22">
        <v>0</v>
      </c>
      <c r="E22">
        <v>0</v>
      </c>
      <c r="F22">
        <v>0</v>
      </c>
    </row>
    <row r="23" spans="1:6" x14ac:dyDescent="0.25">
      <c r="A23" t="s">
        <v>113</v>
      </c>
      <c r="B23" t="s">
        <v>114</v>
      </c>
      <c r="D23">
        <v>0</v>
      </c>
      <c r="E23">
        <v>0</v>
      </c>
      <c r="F23">
        <v>0</v>
      </c>
    </row>
    <row r="24" spans="1:6" x14ac:dyDescent="0.25">
      <c r="A24" t="s">
        <v>115</v>
      </c>
      <c r="B24" t="s">
        <v>97</v>
      </c>
      <c r="D24">
        <v>0</v>
      </c>
      <c r="E24">
        <v>0</v>
      </c>
      <c r="F24">
        <v>1</v>
      </c>
    </row>
    <row r="25" spans="1:6" x14ac:dyDescent="0.25">
      <c r="A25" t="s">
        <v>116</v>
      </c>
      <c r="B25" t="s">
        <v>85</v>
      </c>
      <c r="C25" t="s">
        <v>90</v>
      </c>
      <c r="D25">
        <v>0</v>
      </c>
      <c r="E25">
        <v>0</v>
      </c>
      <c r="F25">
        <v>0</v>
      </c>
    </row>
    <row r="26" spans="1:6" x14ac:dyDescent="0.25">
      <c r="A26" t="s">
        <v>117</v>
      </c>
      <c r="B26" t="s">
        <v>92</v>
      </c>
      <c r="D26">
        <v>0</v>
      </c>
      <c r="E26">
        <v>0</v>
      </c>
      <c r="F26">
        <v>1</v>
      </c>
    </row>
    <row r="27" spans="1:6" x14ac:dyDescent="0.25">
      <c r="A27" t="s">
        <v>118</v>
      </c>
      <c r="B27" t="s">
        <v>85</v>
      </c>
      <c r="D27">
        <v>0</v>
      </c>
      <c r="E27">
        <v>0</v>
      </c>
      <c r="F27">
        <v>0</v>
      </c>
    </row>
  </sheetData>
  <sheetProtection sheet="1"/>
  <pageMargins left="0.75" right="0.75" top="1" bottom="1" header="0.5" footer="0.5"/>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C44"/>
  <sheetViews>
    <sheetView workbookViewId="0"/>
  </sheetViews>
  <sheetFormatPr defaultRowHeight="15" x14ac:dyDescent="0.25"/>
  <cols>
    <col min="2" max="2" width="50" customWidth="1"/>
    <col min="3" max="3" width="40" customWidth="1"/>
  </cols>
  <sheetData>
    <row r="1" spans="1:3" x14ac:dyDescent="0.25">
      <c r="A1" s="5" t="s">
        <v>119</v>
      </c>
      <c r="B1" s="5" t="s">
        <v>120</v>
      </c>
      <c r="C1" s="5" t="s">
        <v>121</v>
      </c>
    </row>
    <row r="2" spans="1:3" x14ac:dyDescent="0.25">
      <c r="A2" s="7">
        <v>46023</v>
      </c>
      <c r="B2" s="12" t="s">
        <v>122</v>
      </c>
      <c r="C2" s="12" t="s">
        <v>123</v>
      </c>
    </row>
    <row r="3" spans="1:3" x14ac:dyDescent="0.25">
      <c r="A3" s="7">
        <v>46048</v>
      </c>
      <c r="B3" s="12" t="s">
        <v>124</v>
      </c>
      <c r="C3" s="12" t="s">
        <v>123</v>
      </c>
    </row>
    <row r="4" spans="1:3" x14ac:dyDescent="0.25">
      <c r="A4" s="7">
        <v>46083</v>
      </c>
      <c r="B4" s="12" t="s">
        <v>125</v>
      </c>
      <c r="C4" s="12" t="s">
        <v>126</v>
      </c>
    </row>
    <row r="5" spans="1:3" x14ac:dyDescent="0.25">
      <c r="A5" s="7">
        <v>46090</v>
      </c>
      <c r="B5" s="12" t="s">
        <v>127</v>
      </c>
      <c r="C5" s="12" t="s">
        <v>128</v>
      </c>
    </row>
    <row r="6" spans="1:3" x14ac:dyDescent="0.25">
      <c r="A6" s="7">
        <v>46115</v>
      </c>
      <c r="B6" s="12" t="s">
        <v>129</v>
      </c>
      <c r="C6" s="12" t="s">
        <v>123</v>
      </c>
    </row>
    <row r="7" spans="1:3" x14ac:dyDescent="0.25">
      <c r="A7" s="7">
        <v>46116</v>
      </c>
      <c r="B7" s="12" t="s">
        <v>130</v>
      </c>
      <c r="C7" s="12" t="s">
        <v>131</v>
      </c>
    </row>
    <row r="8" spans="1:3" x14ac:dyDescent="0.25">
      <c r="A8" s="7">
        <v>46117</v>
      </c>
      <c r="B8" s="12" t="s">
        <v>132</v>
      </c>
      <c r="C8" s="12" t="s">
        <v>133</v>
      </c>
    </row>
    <row r="9" spans="1:3" x14ac:dyDescent="0.25">
      <c r="A9" s="7">
        <v>46118</v>
      </c>
      <c r="B9" s="12" t="s">
        <v>134</v>
      </c>
      <c r="C9" s="12" t="s">
        <v>123</v>
      </c>
    </row>
    <row r="10" spans="1:3" x14ac:dyDescent="0.25">
      <c r="A10" s="7">
        <v>46137</v>
      </c>
      <c r="B10" s="12" t="s">
        <v>135</v>
      </c>
      <c r="C10" s="12" t="s">
        <v>123</v>
      </c>
    </row>
    <row r="11" spans="1:3" x14ac:dyDescent="0.25">
      <c r="A11" s="7">
        <v>46139</v>
      </c>
      <c r="B11" s="12" t="s">
        <v>136</v>
      </c>
      <c r="C11" s="12" t="s">
        <v>137</v>
      </c>
    </row>
    <row r="12" spans="1:3" x14ac:dyDescent="0.25">
      <c r="A12" s="7">
        <v>46146</v>
      </c>
      <c r="B12" s="12" t="s">
        <v>138</v>
      </c>
      <c r="C12" s="12" t="s">
        <v>139</v>
      </c>
    </row>
    <row r="13" spans="1:3" x14ac:dyDescent="0.25">
      <c r="A13" s="7">
        <v>46174</v>
      </c>
      <c r="B13" s="12" t="s">
        <v>140</v>
      </c>
      <c r="C13" s="12" t="s">
        <v>141</v>
      </c>
    </row>
    <row r="14" spans="1:3" x14ac:dyDescent="0.25">
      <c r="A14" s="7">
        <v>46181</v>
      </c>
      <c r="B14" s="12" t="s">
        <v>142</v>
      </c>
      <c r="C14" s="12" t="s">
        <v>143</v>
      </c>
    </row>
    <row r="15" spans="1:3" x14ac:dyDescent="0.25">
      <c r="A15" s="7">
        <v>46237</v>
      </c>
      <c r="B15" s="12" t="s">
        <v>144</v>
      </c>
      <c r="C15" s="12" t="s">
        <v>145</v>
      </c>
    </row>
    <row r="16" spans="1:3" x14ac:dyDescent="0.25">
      <c r="A16" s="7">
        <v>46290</v>
      </c>
      <c r="B16" s="12" t="s">
        <v>146</v>
      </c>
      <c r="C16" s="12" t="s">
        <v>147</v>
      </c>
    </row>
    <row r="17" spans="1:3" x14ac:dyDescent="0.25">
      <c r="A17" s="7">
        <v>46300</v>
      </c>
      <c r="B17" s="12" t="s">
        <v>148</v>
      </c>
      <c r="C17" s="12" t="s">
        <v>149</v>
      </c>
    </row>
    <row r="18" spans="1:3" x14ac:dyDescent="0.25">
      <c r="A18" s="7">
        <v>46381</v>
      </c>
      <c r="B18" s="12" t="s">
        <v>150</v>
      </c>
      <c r="C18" s="12" t="s">
        <v>123</v>
      </c>
    </row>
    <row r="19" spans="1:3" x14ac:dyDescent="0.25">
      <c r="A19" s="7">
        <v>46382</v>
      </c>
      <c r="B19" s="12" t="s">
        <v>151</v>
      </c>
      <c r="C19" s="12" t="s">
        <v>133</v>
      </c>
    </row>
    <row r="20" spans="1:3" x14ac:dyDescent="0.25">
      <c r="A20" s="7">
        <v>46384</v>
      </c>
      <c r="B20" s="12" t="s">
        <v>152</v>
      </c>
      <c r="C20" s="12" t="s">
        <v>123</v>
      </c>
    </row>
    <row r="21" spans="1:3" x14ac:dyDescent="0.25">
      <c r="A21" s="7">
        <v>46388</v>
      </c>
      <c r="B21" s="12" t="s">
        <v>122</v>
      </c>
      <c r="C21" s="12" t="s">
        <v>123</v>
      </c>
    </row>
    <row r="22" spans="1:3" x14ac:dyDescent="0.25">
      <c r="A22" s="7">
        <v>46413</v>
      </c>
      <c r="B22" s="12" t="s">
        <v>124</v>
      </c>
      <c r="C22" s="12" t="s">
        <v>123</v>
      </c>
    </row>
    <row r="23" spans="1:3" x14ac:dyDescent="0.25">
      <c r="A23" s="7">
        <v>46447</v>
      </c>
      <c r="B23" s="12" t="s">
        <v>125</v>
      </c>
      <c r="C23" s="12" t="s">
        <v>126</v>
      </c>
    </row>
    <row r="24" spans="1:3" x14ac:dyDescent="0.25">
      <c r="A24" s="7">
        <v>46454</v>
      </c>
      <c r="B24" s="12" t="s">
        <v>127</v>
      </c>
      <c r="C24" s="12" t="s">
        <v>128</v>
      </c>
    </row>
    <row r="25" spans="1:3" x14ac:dyDescent="0.25">
      <c r="A25" s="7">
        <v>46472</v>
      </c>
      <c r="B25" s="12" t="s">
        <v>129</v>
      </c>
      <c r="C25" s="12" t="s">
        <v>123</v>
      </c>
    </row>
    <row r="26" spans="1:3" x14ac:dyDescent="0.25">
      <c r="A26" s="7">
        <v>46473</v>
      </c>
      <c r="B26" s="12" t="s">
        <v>130</v>
      </c>
      <c r="C26" s="12" t="s">
        <v>131</v>
      </c>
    </row>
    <row r="27" spans="1:3" x14ac:dyDescent="0.25">
      <c r="A27" s="7">
        <v>46474</v>
      </c>
      <c r="B27" s="12" t="s">
        <v>132</v>
      </c>
      <c r="C27" s="12" t="s">
        <v>133</v>
      </c>
    </row>
    <row r="28" spans="1:3" x14ac:dyDescent="0.25">
      <c r="A28" s="7">
        <v>46475</v>
      </c>
      <c r="B28" s="12" t="s">
        <v>134</v>
      </c>
      <c r="C28" s="12" t="s">
        <v>123</v>
      </c>
    </row>
    <row r="29" spans="1:3" x14ac:dyDescent="0.25">
      <c r="A29" s="7">
        <v>46502</v>
      </c>
      <c r="B29" s="12" t="s">
        <v>135</v>
      </c>
      <c r="C29" s="12" t="s">
        <v>153</v>
      </c>
    </row>
    <row r="30" spans="1:3" x14ac:dyDescent="0.25">
      <c r="A30" s="7">
        <v>46503</v>
      </c>
      <c r="B30" s="12" t="s">
        <v>154</v>
      </c>
      <c r="C30" s="12" t="s">
        <v>155</v>
      </c>
    </row>
    <row r="31" spans="1:3" x14ac:dyDescent="0.25">
      <c r="A31" s="7">
        <v>46510</v>
      </c>
      <c r="B31" s="12" t="s">
        <v>138</v>
      </c>
      <c r="C31" s="12" t="s">
        <v>139</v>
      </c>
    </row>
    <row r="32" spans="1:3" x14ac:dyDescent="0.25">
      <c r="A32" s="7">
        <v>46538</v>
      </c>
      <c r="B32" s="12" t="s">
        <v>156</v>
      </c>
      <c r="C32" s="12" t="s">
        <v>157</v>
      </c>
    </row>
    <row r="33" spans="1:3" x14ac:dyDescent="0.25">
      <c r="A33" s="7">
        <v>46545</v>
      </c>
      <c r="B33" s="12" t="s">
        <v>158</v>
      </c>
      <c r="C33" s="12" t="s">
        <v>126</v>
      </c>
    </row>
    <row r="34" spans="1:3" x14ac:dyDescent="0.25">
      <c r="A34" s="7">
        <v>46552</v>
      </c>
      <c r="B34" s="12" t="s">
        <v>142</v>
      </c>
      <c r="C34" s="12" t="s">
        <v>143</v>
      </c>
    </row>
    <row r="35" spans="1:3" x14ac:dyDescent="0.25">
      <c r="A35" s="7">
        <v>46601</v>
      </c>
      <c r="B35" s="12" t="s">
        <v>144</v>
      </c>
      <c r="C35" s="12" t="s">
        <v>145</v>
      </c>
    </row>
    <row r="36" spans="1:3" x14ac:dyDescent="0.25">
      <c r="A36" s="7">
        <v>46664</v>
      </c>
      <c r="B36" s="12" t="s">
        <v>148</v>
      </c>
      <c r="C36" s="12" t="s">
        <v>149</v>
      </c>
    </row>
    <row r="37" spans="1:3" x14ac:dyDescent="0.25">
      <c r="A37" s="7">
        <v>46746</v>
      </c>
      <c r="B37" s="12" t="s">
        <v>150</v>
      </c>
      <c r="C37" s="12" t="s">
        <v>123</v>
      </c>
    </row>
    <row r="38" spans="1:3" x14ac:dyDescent="0.25">
      <c r="A38" s="7">
        <v>46747</v>
      </c>
      <c r="B38" s="12" t="s">
        <v>151</v>
      </c>
      <c r="C38" s="12" t="s">
        <v>133</v>
      </c>
    </row>
    <row r="39" spans="1:3" x14ac:dyDescent="0.25">
      <c r="A39" s="7">
        <v>46748</v>
      </c>
      <c r="B39" s="12" t="s">
        <v>159</v>
      </c>
      <c r="C39" s="12" t="s">
        <v>123</v>
      </c>
    </row>
    <row r="40" spans="1:3" x14ac:dyDescent="0.25">
      <c r="A40" s="7">
        <v>46749</v>
      </c>
      <c r="B40" s="12" t="s">
        <v>152</v>
      </c>
      <c r="C40" s="12" t="s">
        <v>123</v>
      </c>
    </row>
    <row r="43" spans="1:3" x14ac:dyDescent="0.25">
      <c r="A43" t="s">
        <v>160</v>
      </c>
    </row>
    <row r="44" spans="1:3" x14ac:dyDescent="0.25">
      <c r="A44" t="s">
        <v>161</v>
      </c>
    </row>
  </sheetData>
  <pageMargins left="0.75" right="0.75" top="1" bottom="1" header="0.5" footer="0.5"/>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11"/>
  <sheetViews>
    <sheetView workbookViewId="0"/>
  </sheetViews>
  <sheetFormatPr defaultRowHeight="15" x14ac:dyDescent="0.25"/>
  <cols>
    <col min="6" max="6" width="14" customWidth="1"/>
  </cols>
  <sheetData>
    <row r="1" spans="1:6" x14ac:dyDescent="0.25">
      <c r="A1" s="5" t="s">
        <v>162</v>
      </c>
      <c r="B1" s="5" t="s">
        <v>163</v>
      </c>
      <c r="C1" s="5" t="s">
        <v>164</v>
      </c>
      <c r="D1" s="5" t="s">
        <v>165</v>
      </c>
      <c r="E1" s="5" t="s">
        <v>166</v>
      </c>
      <c r="F1" s="5" t="s">
        <v>167</v>
      </c>
    </row>
    <row r="2" spans="1:6" x14ac:dyDescent="0.25">
      <c r="A2" s="7">
        <v>46113</v>
      </c>
      <c r="B2" s="7">
        <v>46203</v>
      </c>
      <c r="C2" s="12">
        <v>10.96</v>
      </c>
      <c r="D2" s="12">
        <v>365</v>
      </c>
      <c r="E2" s="12" t="s">
        <v>168</v>
      </c>
      <c r="F2" s="12" t="s">
        <v>169</v>
      </c>
    </row>
    <row r="3" spans="1:6" x14ac:dyDescent="0.25">
      <c r="A3" s="7">
        <v>46204</v>
      </c>
      <c r="B3" s="7">
        <v>46295</v>
      </c>
      <c r="C3" s="12">
        <v>11.43</v>
      </c>
      <c r="D3" s="12">
        <v>365</v>
      </c>
      <c r="E3" s="12" t="s">
        <v>168</v>
      </c>
      <c r="F3" s="12" t="s">
        <v>169</v>
      </c>
    </row>
    <row r="4" spans="1:6" x14ac:dyDescent="0.25">
      <c r="A4" s="7">
        <v>46296</v>
      </c>
      <c r="B4" s="7">
        <v>46387</v>
      </c>
      <c r="C4" s="12">
        <v>11.43</v>
      </c>
      <c r="D4" s="12">
        <v>365</v>
      </c>
      <c r="E4" s="12" t="s">
        <v>170</v>
      </c>
      <c r="F4" s="12"/>
    </row>
    <row r="5" spans="1:6" x14ac:dyDescent="0.25">
      <c r="A5" s="7">
        <v>46388</v>
      </c>
      <c r="B5" s="7">
        <v>46752</v>
      </c>
      <c r="C5" s="12">
        <v>11.43</v>
      </c>
      <c r="D5" s="12">
        <v>365</v>
      </c>
      <c r="E5" s="12" t="s">
        <v>170</v>
      </c>
      <c r="F5" s="12"/>
    </row>
    <row r="6" spans="1:6" x14ac:dyDescent="0.25">
      <c r="A6" s="7">
        <v>46753</v>
      </c>
      <c r="B6" s="7">
        <v>47118</v>
      </c>
      <c r="C6" s="12">
        <v>11.43</v>
      </c>
      <c r="D6" s="12">
        <v>366</v>
      </c>
      <c r="E6" s="12" t="s">
        <v>170</v>
      </c>
      <c r="F6" s="12"/>
    </row>
    <row r="7" spans="1:6" x14ac:dyDescent="0.25">
      <c r="A7" s="7">
        <v>47119</v>
      </c>
      <c r="B7" s="7">
        <v>47483</v>
      </c>
      <c r="C7" s="12">
        <v>11.43</v>
      </c>
      <c r="D7" s="12">
        <v>365</v>
      </c>
      <c r="E7" s="12" t="s">
        <v>170</v>
      </c>
      <c r="F7" s="12"/>
    </row>
    <row r="8" spans="1:6" x14ac:dyDescent="0.25">
      <c r="A8" s="7">
        <v>47484</v>
      </c>
      <c r="B8" s="7">
        <v>47848</v>
      </c>
      <c r="C8" s="12">
        <v>11.43</v>
      </c>
      <c r="D8" s="12">
        <v>365</v>
      </c>
      <c r="E8" s="12" t="s">
        <v>170</v>
      </c>
      <c r="F8" s="12"/>
    </row>
    <row r="11" spans="1:6" x14ac:dyDescent="0.25">
      <c r="A11" t="s">
        <v>171</v>
      </c>
    </row>
  </sheetData>
  <pageMargins left="0.75" right="0.75" top="1" bottom="1" header="0.5" footer="0.5"/>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B24"/>
  <sheetViews>
    <sheetView workbookViewId="0"/>
  </sheetViews>
  <sheetFormatPr defaultRowHeight="15" x14ac:dyDescent="0.25"/>
  <cols>
    <col min="1" max="1" width="64" customWidth="1"/>
    <col min="2" max="2" width="18" customWidth="1"/>
  </cols>
  <sheetData>
    <row r="1" spans="1:2" x14ac:dyDescent="0.25">
      <c r="A1" s="5" t="s">
        <v>172</v>
      </c>
      <c r="B1" s="5"/>
    </row>
    <row r="2" spans="1:2" x14ac:dyDescent="0.25">
      <c r="A2" t="s">
        <v>173</v>
      </c>
      <c r="B2" s="13">
        <v>46244</v>
      </c>
    </row>
    <row r="3" spans="1:2" x14ac:dyDescent="0.25">
      <c r="A3" t="s">
        <v>174</v>
      </c>
      <c r="B3" s="13"/>
    </row>
    <row r="4" spans="1:2" x14ac:dyDescent="0.25">
      <c r="A4" t="s">
        <v>175</v>
      </c>
      <c r="B4" s="14" t="s">
        <v>176</v>
      </c>
    </row>
    <row r="5" spans="1:2" x14ac:dyDescent="0.25">
      <c r="A5" t="s">
        <v>177</v>
      </c>
      <c r="B5" s="14" t="s">
        <v>178</v>
      </c>
    </row>
    <row r="6" spans="1:2" x14ac:dyDescent="0.25">
      <c r="A6" t="s">
        <v>179</v>
      </c>
      <c r="B6" s="13">
        <v>46630</v>
      </c>
    </row>
    <row r="7" spans="1:2" x14ac:dyDescent="0.25">
      <c r="A7" t="s">
        <v>180</v>
      </c>
      <c r="B7" s="11">
        <f>_xlfn.MAXIFS(tblGic[to],tblGic[basis],"known")</f>
        <v>46295</v>
      </c>
    </row>
    <row r="9" spans="1:2" x14ac:dyDescent="0.25">
      <c r="A9" s="5" t="s">
        <v>181</v>
      </c>
      <c r="B9" s="5"/>
    </row>
    <row r="10" spans="1:2" x14ac:dyDescent="0.25">
      <c r="A10" t="s">
        <v>87</v>
      </c>
      <c r="B10" s="9">
        <f>COUNTIF(tblLines[Verdict],"ON_TIME")</f>
        <v>5</v>
      </c>
    </row>
    <row r="11" spans="1:2" x14ac:dyDescent="0.25">
      <c r="A11" t="s">
        <v>114</v>
      </c>
      <c r="B11" s="9">
        <f>COUNTIF(tblLines[Verdict],"AT_RISK")</f>
        <v>1</v>
      </c>
    </row>
    <row r="12" spans="1:2" x14ac:dyDescent="0.25">
      <c r="A12" t="s">
        <v>97</v>
      </c>
      <c r="B12" s="9">
        <f>COUNTIF(tblLines[Verdict],"LATE")</f>
        <v>2</v>
      </c>
    </row>
    <row r="13" spans="1:2" x14ac:dyDescent="0.25">
      <c r="A13" t="s">
        <v>92</v>
      </c>
      <c r="B13" s="9">
        <f>COUNTIF(tblLines[Verdict],"UNPAID")</f>
        <v>1</v>
      </c>
    </row>
    <row r="14" spans="1:2" x14ac:dyDescent="0.25">
      <c r="A14" t="s">
        <v>85</v>
      </c>
      <c r="B14" s="9">
        <f>COUNTIF(tblLines[Verdict],"UNKNOWN")</f>
        <v>0</v>
      </c>
    </row>
    <row r="15" spans="1:2" x14ac:dyDescent="0.25">
      <c r="A15" t="s">
        <v>83</v>
      </c>
      <c r="B15" s="9">
        <f>COUNTIF(tblLines[Verdict],"SKIPPED")</f>
        <v>1</v>
      </c>
    </row>
    <row r="16" spans="1:2" x14ac:dyDescent="0.25">
      <c r="A16" t="s">
        <v>182</v>
      </c>
      <c r="B16" s="9">
        <f>SUM(tblLines[Exposed])</f>
        <v>3</v>
      </c>
    </row>
    <row r="17" spans="1:2" x14ac:dyDescent="0.25">
      <c r="A17" t="s">
        <v>183</v>
      </c>
      <c r="B17" s="10">
        <f>ROUND(SUM(tblLines[Shortfall_r]),2)</f>
        <v>780</v>
      </c>
    </row>
    <row r="18" spans="1:2" x14ac:dyDescent="0.25">
      <c r="A18" t="s">
        <v>184</v>
      </c>
      <c r="B18" s="10">
        <f>ROUND(SUM(tblLines[NEC_r]),2)</f>
        <v>8.07</v>
      </c>
    </row>
    <row r="19" spans="1:2" x14ac:dyDescent="0.25">
      <c r="A19" t="s">
        <v>185</v>
      </c>
      <c r="B19" s="10">
        <f>ROUND(SUM(tblLines[SGC_low]),2)</f>
        <v>788.07</v>
      </c>
    </row>
    <row r="20" spans="1:2" x14ac:dyDescent="0.25">
      <c r="A20" t="s">
        <v>186</v>
      </c>
      <c r="B20" s="10">
        <f>ROUND(SUM(tblLines[SGC_high]),2)</f>
        <v>1260.92</v>
      </c>
    </row>
    <row r="21" spans="1:2" x14ac:dyDescent="0.25">
      <c r="A21" t="s">
        <v>187</v>
      </c>
      <c r="B21" s="9">
        <f>SUMPRODUCT(--(tblLines[Unassessable_between]&lt;&gt;""))</f>
        <v>0</v>
      </c>
    </row>
    <row r="22" spans="1:2" x14ac:dyDescent="0.25">
      <c r="A22" t="s">
        <v>188</v>
      </c>
      <c r="B22" s="9" t="str">
        <f>IF(AND(SUM(tblLines[Assessable])&gt;0,SUMPRODUCT(tblLines[Assessable]*tblLines[Receipt_established])=0),"YES","NO")</f>
        <v>NO</v>
      </c>
    </row>
    <row r="24" spans="1:2" x14ac:dyDescent="0.25">
      <c r="A24" t="s">
        <v>7</v>
      </c>
      <c r="B24" s="15" t="str">
        <f>'Review Checks'!B13</f>
        <v>REVIEW</v>
      </c>
    </row>
  </sheetData>
  <sheetProtection sheet="1"/>
  <conditionalFormatting sqref="B24">
    <cfRule type="cellIs" dxfId="5" priority="1" operator="equal">
      <formula>"BLOCKED"</formula>
    </cfRule>
    <cfRule type="cellIs" dxfId="4" priority="2" operator="equal">
      <formula>"REVIEW"</formula>
    </cfRule>
    <cfRule type="cellIs" dxfId="3" priority="3" operator="equal">
      <formula>"PASS"</formula>
    </cfRule>
  </conditionalFormatting>
  <dataValidations count="1">
    <dataValidation type="list" sqref="B4:B5" xr:uid="{00000000-0002-0000-0500-000000000000}">
      <formula1>"Y,N"</formula1>
    </dataValidation>
  </dataValidations>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D21"/>
  <sheetViews>
    <sheetView workbookViewId="0"/>
  </sheetViews>
  <sheetFormatPr defaultRowHeight="15" x14ac:dyDescent="0.25"/>
  <cols>
    <col min="1" max="1" width="100" customWidth="1"/>
    <col min="2" max="2" width="12" customWidth="1"/>
    <col min="3" max="3" width="16" customWidth="1"/>
    <col min="4" max="4" width="24" customWidth="1"/>
  </cols>
  <sheetData>
    <row r="1" spans="1:4" x14ac:dyDescent="0.25">
      <c r="A1" s="5" t="s">
        <v>189</v>
      </c>
      <c r="B1" s="5" t="s">
        <v>190</v>
      </c>
      <c r="C1" s="5" t="s">
        <v>191</v>
      </c>
      <c r="D1" s="5" t="s">
        <v>192</v>
      </c>
    </row>
    <row r="2" spans="1:4" x14ac:dyDescent="0.25">
      <c r="A2" t="s">
        <v>193</v>
      </c>
      <c r="B2" s="9" t="str">
        <f>IF(C2=0,"PASS","BLOCKED")</f>
        <v>PASS</v>
      </c>
      <c r="C2" s="9">
        <f>SUMPRODUCT(--(tblLines[Row_problem]&lt;&gt;""))</f>
        <v>0</v>
      </c>
      <c r="D2" s="9" t="str">
        <f t="array" ref="D2">IF(C2=0,"",INDEX(tblLines[employee_id],SUMPRODUCT(MAX((tblLines[Row_problem]&lt;&gt;"")*(ROW(tblLines[employee_id])-1)))))</f>
        <v/>
      </c>
    </row>
    <row r="3" spans="1:4" x14ac:dyDescent="0.25">
      <c r="A3" t="s">
        <v>194</v>
      </c>
      <c r="B3" s="9" t="str">
        <f>IF(C3=0,"PASS","BLOCKED")</f>
        <v>PASS</v>
      </c>
      <c r="C3" s="9">
        <f>SUM(tblLines[Guard])</f>
        <v>0</v>
      </c>
      <c r="D3" s="9" t="str">
        <f t="array" ref="D3">IF(C3=0,"",INDEX(tblLines[employee_id],SUMPRODUCT(MAX((tblLines[Guard]=1)*(ROW(tblLines[employee_id])-1)))))</f>
        <v/>
      </c>
    </row>
    <row r="4" spans="1:4" x14ac:dyDescent="0.25">
      <c r="A4" t="s">
        <v>195</v>
      </c>
      <c r="B4" s="9" t="str">
        <f>IF(OR(C4=0,Summary!$B$4="Y"),"PASS","BLOCKED")</f>
        <v>PASS</v>
      </c>
      <c r="C4" s="9">
        <f>SUM(tblLines[Transition_row])</f>
        <v>2</v>
      </c>
      <c r="D4" s="9" t="str">
        <f t="array" ref="D4">IF(C4=0,"",INDEX(tblLines[employee_id],SUMPRODUCT(MAX((tblLines[Transition_row]=1)*(ROW(tblLines[employee_id])-1)))))</f>
        <v>EMP003</v>
      </c>
    </row>
    <row r="5" spans="1:4" x14ac:dyDescent="0.25">
      <c r="A5" t="s">
        <v>196</v>
      </c>
      <c r="B5" s="9" t="str">
        <f>IF(C5=0,"PASS","REVIEW")</f>
        <v>REVIEW</v>
      </c>
      <c r="C5" s="9">
        <f>SUM(tblLines[Exposed])</f>
        <v>3</v>
      </c>
      <c r="D5" s="9" t="str">
        <f t="array" ref="D5">IF(C5=0,"",INDEX(tblLines[employee_id],SUMPRODUCT(MAX((tblLines[Exposed]=1)*(ROW(tblLines[employee_id])-1)))))</f>
        <v>EMP001</v>
      </c>
    </row>
    <row r="6" spans="1:4" x14ac:dyDescent="0.25">
      <c r="A6" t="s">
        <v>197</v>
      </c>
      <c r="B6" s="9" t="str">
        <f>IF(C6=0,"PASS","REVIEW")</f>
        <v>PASS</v>
      </c>
      <c r="C6" s="9">
        <f>SUMPRODUCT(--(tblLines[Unassessable_between]&lt;&gt;""))</f>
        <v>0</v>
      </c>
      <c r="D6" s="9" t="str">
        <f t="array" ref="D6">IF(C6=0,"",INDEX(tblLines[employee_id],SUMPRODUCT(MAX((tblLines[Unassessable_between]&lt;&gt;"")*(ROW(tblLines[employee_id])-1)))))</f>
        <v/>
      </c>
    </row>
    <row r="7" spans="1:4" x14ac:dyDescent="0.25">
      <c r="A7" t="s">
        <v>198</v>
      </c>
      <c r="B7" s="9" t="str">
        <f>IF(OR(Summary!B22="NO",Summary!$B$5="Y"),"PASS","REVIEW")</f>
        <v>PASS</v>
      </c>
      <c r="C7" s="9" t="str">
        <f>Summary!B22</f>
        <v>NO</v>
      </c>
      <c r="D7" s="9"/>
    </row>
    <row r="8" spans="1:4" x14ac:dyDescent="0.25">
      <c r="A8" t="s">
        <v>199</v>
      </c>
      <c r="B8" s="9" t="str">
        <f>IF(C8=0,"PASS","NOTE")</f>
        <v>PASS</v>
      </c>
      <c r="C8" s="9">
        <f>SUM(tblLines[Past_horizon])</f>
        <v>0</v>
      </c>
      <c r="D8" s="9" t="str">
        <f t="array" ref="D8">IF(C8=0,"",INDEX(tblLines[employee_id],SUMPRODUCT(MAX((tblLines[Past_horizon]=1)*(ROW(tblLines[employee_id])-1)))))</f>
        <v/>
      </c>
    </row>
    <row r="9" spans="1:4" x14ac:dyDescent="0.25">
      <c r="A9" t="s">
        <v>200</v>
      </c>
      <c r="B9" s="9" t="str">
        <f>IF(C9=0,"PASS","NOTE")</f>
        <v>PASS</v>
      </c>
      <c r="C9" s="9">
        <f>SUM(tblLines[GIC_estimated])</f>
        <v>0</v>
      </c>
      <c r="D9" s="9" t="str">
        <f t="array" ref="D9">IF(C9=0,"",INDEX(tblLines[employee_id],SUMPRODUCT(MAX((tblLines[GIC_estimated]=1)*(ROW(tblLines[employee_id])-1)))))</f>
        <v/>
      </c>
    </row>
    <row r="10" spans="1:4" x14ac:dyDescent="0.25">
      <c r="A10" t="s">
        <v>201</v>
      </c>
      <c r="B10" s="9" t="str">
        <f>IF(C10=0,"PASS","NOTE")</f>
        <v>PASS</v>
      </c>
      <c r="C10" s="9">
        <f>SUM(tblLines[Duplicate])</f>
        <v>0</v>
      </c>
      <c r="D10" s="9" t="str">
        <f t="array" ref="D10">IF(C10=0,"",INDEX(tblLines[employee_id],SUMPRODUCT(MAX((tblLines[Duplicate]=1)*(ROW(tblLines[employee_id])-1)))))</f>
        <v/>
      </c>
    </row>
    <row r="11" spans="1:4" x14ac:dyDescent="0.25">
      <c r="A11" t="s">
        <v>202</v>
      </c>
      <c r="B11" s="9" t="str">
        <f>IF(C11=0,"PASS","NOTE")</f>
        <v>PASS</v>
      </c>
      <c r="C11" s="9">
        <f>COUNTIF(tblLines[Branch],"NIL")</f>
        <v>0</v>
      </c>
      <c r="D11" s="9" t="str">
        <f t="array" ref="D11">IF(C11=0,"",INDEX(tblLines[employee_id],SUMPRODUCT(MAX((tblLines[Branch]="NIL")*(ROW(tblLines[employee_id])-1)))))</f>
        <v/>
      </c>
    </row>
    <row r="13" spans="1:4" x14ac:dyDescent="0.25">
      <c r="A13" s="3" t="s">
        <v>7</v>
      </c>
      <c r="B13" s="15" t="str">
        <f>IF(COUNTIF(B2:B11,"BLOCKED")&gt;0,"BLOCKED",IF(COUNTIF(B2:B11,"REVIEW")&gt;0,"REVIEW","PASS"))</f>
        <v>REVIEW</v>
      </c>
    </row>
    <row r="15" spans="1:4" x14ac:dyDescent="0.25">
      <c r="A15" s="5" t="s">
        <v>203</v>
      </c>
    </row>
    <row r="16" spans="1:4" ht="30" x14ac:dyDescent="0.25">
      <c r="A16" s="16" t="s">
        <v>204</v>
      </c>
    </row>
    <row r="17" spans="1:1" ht="45" x14ac:dyDescent="0.25">
      <c r="A17" s="16" t="s">
        <v>205</v>
      </c>
    </row>
    <row r="18" spans="1:1" ht="45" x14ac:dyDescent="0.25">
      <c r="A18" s="16" t="s">
        <v>206</v>
      </c>
    </row>
    <row r="19" spans="1:1" ht="30" x14ac:dyDescent="0.25">
      <c r="A19" s="16" t="s">
        <v>207</v>
      </c>
    </row>
    <row r="20" spans="1:1" ht="45" x14ac:dyDescent="0.25">
      <c r="A20" s="16" t="s">
        <v>208</v>
      </c>
    </row>
    <row r="21" spans="1:1" ht="45" x14ac:dyDescent="0.25">
      <c r="A21" s="16" t="s">
        <v>209</v>
      </c>
    </row>
  </sheetData>
  <sheetProtection sheet="1"/>
  <conditionalFormatting sqref="B2:B13">
    <cfRule type="cellIs" dxfId="2" priority="1" operator="equal">
      <formula>"BLOCKED"</formula>
    </cfRule>
    <cfRule type="cellIs" dxfId="1" priority="2" operator="equal">
      <formula>"REVIEW"</formula>
    </cfRule>
    <cfRule type="cellIs" dxfId="0" priority="3" operator="equal">
      <formula>"PASS"</formula>
    </cfRule>
  </conditionalFormatting>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B9"/>
  <sheetViews>
    <sheetView workbookViewId="0"/>
  </sheetViews>
  <sheetFormatPr defaultRowHeight="15" x14ac:dyDescent="0.25"/>
  <cols>
    <col min="1" max="1" width="52" customWidth="1"/>
    <col min="2" max="2" width="110" customWidth="1"/>
  </cols>
  <sheetData>
    <row r="1" spans="1:2" x14ac:dyDescent="0.25">
      <c r="A1" s="5" t="s">
        <v>210</v>
      </c>
      <c r="B1" s="5" t="s">
        <v>211</v>
      </c>
    </row>
    <row r="2" spans="1:2" x14ac:dyDescent="0.25">
      <c r="A2" t="s">
        <v>212</v>
      </c>
      <c r="B2" t="s">
        <v>213</v>
      </c>
    </row>
    <row r="3" spans="1:2" x14ac:dyDescent="0.25">
      <c r="A3" t="s">
        <v>214</v>
      </c>
      <c r="B3" t="s">
        <v>227</v>
      </c>
    </row>
    <row r="4" spans="1:2" x14ac:dyDescent="0.25">
      <c r="A4" t="s">
        <v>215</v>
      </c>
      <c r="B4" t="s">
        <v>216</v>
      </c>
    </row>
    <row r="5" spans="1:2" x14ac:dyDescent="0.25">
      <c r="A5" t="s">
        <v>217</v>
      </c>
      <c r="B5" t="s">
        <v>218</v>
      </c>
    </row>
    <row r="6" spans="1:2" x14ac:dyDescent="0.25">
      <c r="A6" t="s">
        <v>219</v>
      </c>
      <c r="B6" t="s">
        <v>220</v>
      </c>
    </row>
    <row r="7" spans="1:2" x14ac:dyDescent="0.25">
      <c r="A7" t="s">
        <v>221</v>
      </c>
      <c r="B7" t="s">
        <v>222</v>
      </c>
    </row>
    <row r="8" spans="1:2" x14ac:dyDescent="0.25">
      <c r="A8" t="s">
        <v>223</v>
      </c>
      <c r="B8" t="s">
        <v>224</v>
      </c>
    </row>
    <row r="9" spans="1:2" x14ac:dyDescent="0.25">
      <c r="A9" t="s">
        <v>225</v>
      </c>
      <c r="B9" t="s">
        <v>226</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Start Here</vt:lpstr>
      <vt:lpstr>Register</vt:lpstr>
      <vt:lpstr>Codes</vt:lpstr>
      <vt:lpstr>Holidays</vt:lpstr>
      <vt:lpstr>GIC</vt:lpstr>
      <vt:lpstr>Summary</vt:lpstr>
      <vt:lpstr>Review Checks</vt:lpstr>
      <vt:lpstr>Sources &amp; Version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Ryan Duguid</cp:lastModifiedBy>
  <dcterms:created xsi:type="dcterms:W3CDTF">2026-09-05T00:20:16Z</dcterms:created>
  <dcterms:modified xsi:type="dcterms:W3CDTF">2026-09-05T00:20:17Z</dcterms:modified>
</cp:coreProperties>
</file>